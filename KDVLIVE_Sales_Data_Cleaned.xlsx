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erayan\Assignment\BPS\"/>
    </mc:Choice>
  </mc:AlternateContent>
  <xr:revisionPtr revIDLastSave="0" documentId="13_ncr:1_{C2E8ED31-3391-4320-B79A-6F71EFAF8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Sheet1!$B$2:$B$1872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J3" i="1"/>
  <c r="C4" i="1"/>
  <c r="J4" i="1"/>
  <c r="C5" i="1"/>
  <c r="J5" i="1"/>
  <c r="C6" i="1"/>
  <c r="J6" i="1"/>
  <c r="C7" i="1"/>
  <c r="J7" i="1"/>
  <c r="C8" i="1"/>
  <c r="J8" i="1"/>
  <c r="C9" i="1"/>
  <c r="J9" i="1"/>
  <c r="C10" i="1"/>
  <c r="J10" i="1"/>
  <c r="C11" i="1"/>
  <c r="J11" i="1"/>
  <c r="C12" i="1"/>
  <c r="J12" i="1"/>
  <c r="C13" i="1"/>
  <c r="J13" i="1"/>
  <c r="C14" i="1"/>
  <c r="J14" i="1"/>
  <c r="C15" i="1"/>
  <c r="J15" i="1"/>
  <c r="C16" i="1"/>
  <c r="J16" i="1"/>
  <c r="C17" i="1"/>
  <c r="J17" i="1"/>
  <c r="C18" i="1"/>
  <c r="J18" i="1"/>
  <c r="C19" i="1"/>
  <c r="J19" i="1"/>
  <c r="C20" i="1"/>
  <c r="J20" i="1"/>
  <c r="C21" i="1"/>
  <c r="J21" i="1"/>
  <c r="C22" i="1"/>
  <c r="J22" i="1"/>
  <c r="C23" i="1"/>
  <c r="J23" i="1"/>
  <c r="C24" i="1"/>
  <c r="J24" i="1"/>
  <c r="C25" i="1"/>
  <c r="J25" i="1"/>
  <c r="C26" i="1"/>
  <c r="J26" i="1"/>
  <c r="C27" i="1"/>
  <c r="J27" i="1"/>
  <c r="C28" i="1"/>
  <c r="J28" i="1"/>
  <c r="C29" i="1"/>
  <c r="J29" i="1"/>
  <c r="C30" i="1"/>
  <c r="J30" i="1"/>
  <c r="C31" i="1"/>
  <c r="J31" i="1"/>
  <c r="C32" i="1"/>
  <c r="J32" i="1"/>
  <c r="C33" i="1"/>
  <c r="J33" i="1"/>
  <c r="C34" i="1"/>
  <c r="J34" i="1"/>
  <c r="C35" i="1"/>
  <c r="J35" i="1"/>
  <c r="C36" i="1"/>
  <c r="J36" i="1"/>
  <c r="C37" i="1"/>
  <c r="J37" i="1"/>
  <c r="C38" i="1"/>
  <c r="J38" i="1"/>
  <c r="C39" i="1"/>
  <c r="J39" i="1"/>
  <c r="C40" i="1"/>
  <c r="J40" i="1"/>
  <c r="C41" i="1"/>
  <c r="J41" i="1"/>
  <c r="C42" i="1"/>
  <c r="J42" i="1"/>
  <c r="C43" i="1"/>
  <c r="J43" i="1"/>
  <c r="C44" i="1"/>
  <c r="J44" i="1"/>
  <c r="C45" i="1"/>
  <c r="J45" i="1"/>
  <c r="C46" i="1"/>
  <c r="J46" i="1"/>
  <c r="C47" i="1"/>
  <c r="J47" i="1"/>
  <c r="C48" i="1"/>
  <c r="J48" i="1"/>
  <c r="C49" i="1"/>
  <c r="J49" i="1"/>
  <c r="C50" i="1"/>
  <c r="J50" i="1"/>
  <c r="C51" i="1"/>
  <c r="J51" i="1"/>
  <c r="C52" i="1"/>
  <c r="J52" i="1"/>
  <c r="C53" i="1"/>
  <c r="J53" i="1"/>
  <c r="C54" i="1"/>
  <c r="J54" i="1"/>
  <c r="C55" i="1"/>
  <c r="J55" i="1"/>
  <c r="C56" i="1"/>
  <c r="J56" i="1"/>
  <c r="C57" i="1"/>
  <c r="J57" i="1"/>
  <c r="C58" i="1"/>
  <c r="J58" i="1"/>
  <c r="C59" i="1"/>
  <c r="J59" i="1"/>
  <c r="C60" i="1"/>
  <c r="J60" i="1"/>
  <c r="C61" i="1"/>
  <c r="J61" i="1"/>
  <c r="C62" i="1"/>
  <c r="J62" i="1"/>
  <c r="C63" i="1"/>
  <c r="J63" i="1"/>
  <c r="C64" i="1"/>
  <c r="J64" i="1"/>
  <c r="C65" i="1"/>
  <c r="J65" i="1"/>
  <c r="C66" i="1"/>
  <c r="J66" i="1"/>
  <c r="C67" i="1"/>
  <c r="J67" i="1"/>
  <c r="C68" i="1"/>
  <c r="J68" i="1"/>
  <c r="C69" i="1"/>
  <c r="J69" i="1"/>
  <c r="C70" i="1"/>
  <c r="J70" i="1"/>
  <c r="C71" i="1"/>
  <c r="J71" i="1"/>
  <c r="C72" i="1"/>
  <c r="J72" i="1"/>
  <c r="C73" i="1"/>
  <c r="J73" i="1"/>
  <c r="C74" i="1"/>
  <c r="J74" i="1"/>
  <c r="C75" i="1"/>
  <c r="J75" i="1"/>
  <c r="C76" i="1"/>
  <c r="J76" i="1"/>
  <c r="C77" i="1"/>
  <c r="J77" i="1"/>
  <c r="C78" i="1"/>
  <c r="J78" i="1"/>
  <c r="C79" i="1"/>
  <c r="J79" i="1"/>
  <c r="C80" i="1"/>
  <c r="J80" i="1"/>
  <c r="C81" i="1"/>
  <c r="J81" i="1"/>
  <c r="C82" i="1"/>
  <c r="J82" i="1"/>
  <c r="C83" i="1"/>
  <c r="J83" i="1"/>
  <c r="C84" i="1"/>
  <c r="J84" i="1"/>
  <c r="C85" i="1"/>
  <c r="J85" i="1"/>
  <c r="C86" i="1"/>
  <c r="J86" i="1"/>
  <c r="C87" i="1"/>
  <c r="J87" i="1"/>
  <c r="C88" i="1"/>
  <c r="J88" i="1"/>
  <c r="C89" i="1"/>
  <c r="J89" i="1"/>
  <c r="C90" i="1"/>
  <c r="J90" i="1"/>
  <c r="C91" i="1"/>
  <c r="J91" i="1"/>
  <c r="C92" i="1"/>
  <c r="J92" i="1"/>
  <c r="C93" i="1"/>
  <c r="J93" i="1"/>
  <c r="C94" i="1"/>
  <c r="J94" i="1"/>
  <c r="C95" i="1"/>
  <c r="J95" i="1"/>
  <c r="C96" i="1"/>
  <c r="J96" i="1"/>
  <c r="C97" i="1"/>
  <c r="J97" i="1"/>
  <c r="C98" i="1"/>
  <c r="J98" i="1"/>
  <c r="C99" i="1"/>
  <c r="J99" i="1"/>
  <c r="C100" i="1"/>
  <c r="J100" i="1"/>
  <c r="C101" i="1"/>
  <c r="J101" i="1"/>
  <c r="C102" i="1"/>
  <c r="J102" i="1"/>
  <c r="C103" i="1"/>
  <c r="J103" i="1"/>
  <c r="C104" i="1"/>
  <c r="J104" i="1"/>
  <c r="C105" i="1"/>
  <c r="J105" i="1"/>
  <c r="C106" i="1"/>
  <c r="J106" i="1"/>
  <c r="C107" i="1"/>
  <c r="J107" i="1"/>
  <c r="C108" i="1"/>
  <c r="J108" i="1"/>
  <c r="C109" i="1"/>
  <c r="J109" i="1"/>
  <c r="C110" i="1"/>
  <c r="J110" i="1"/>
  <c r="C111" i="1"/>
  <c r="J111" i="1"/>
  <c r="C112" i="1"/>
  <c r="J112" i="1"/>
  <c r="C113" i="1"/>
  <c r="J113" i="1"/>
  <c r="C114" i="1"/>
  <c r="J114" i="1"/>
  <c r="C115" i="1"/>
  <c r="J115" i="1"/>
  <c r="C116" i="1"/>
  <c r="J116" i="1"/>
  <c r="C117" i="1"/>
  <c r="J117" i="1"/>
  <c r="C118" i="1"/>
  <c r="J118" i="1"/>
  <c r="C119" i="1"/>
  <c r="J119" i="1"/>
  <c r="C120" i="1"/>
  <c r="J120" i="1"/>
  <c r="C121" i="1"/>
  <c r="J121" i="1"/>
  <c r="C122" i="1"/>
  <c r="J122" i="1"/>
  <c r="C123" i="1"/>
  <c r="J123" i="1"/>
  <c r="C124" i="1"/>
  <c r="J124" i="1"/>
  <c r="C125" i="1"/>
  <c r="J125" i="1"/>
  <c r="C126" i="1"/>
  <c r="J126" i="1"/>
  <c r="C127" i="1"/>
  <c r="J127" i="1"/>
  <c r="C128" i="1"/>
  <c r="J128" i="1"/>
  <c r="C129" i="1"/>
  <c r="J129" i="1"/>
  <c r="C130" i="1"/>
  <c r="J130" i="1"/>
  <c r="C131" i="1"/>
  <c r="J131" i="1"/>
  <c r="C132" i="1"/>
  <c r="J132" i="1"/>
  <c r="C133" i="1"/>
  <c r="J133" i="1"/>
  <c r="C134" i="1"/>
  <c r="J134" i="1"/>
  <c r="C135" i="1"/>
  <c r="J135" i="1"/>
  <c r="C136" i="1"/>
  <c r="J136" i="1"/>
  <c r="C137" i="1"/>
  <c r="J137" i="1"/>
  <c r="C138" i="1"/>
  <c r="J138" i="1"/>
  <c r="C139" i="1"/>
  <c r="J139" i="1"/>
  <c r="C140" i="1"/>
  <c r="J140" i="1"/>
  <c r="C141" i="1"/>
  <c r="J141" i="1"/>
  <c r="C142" i="1"/>
  <c r="J142" i="1"/>
  <c r="C143" i="1"/>
  <c r="J143" i="1"/>
  <c r="C144" i="1"/>
  <c r="J144" i="1"/>
  <c r="C145" i="1"/>
  <c r="J145" i="1"/>
  <c r="C146" i="1"/>
  <c r="J146" i="1"/>
  <c r="C147" i="1"/>
  <c r="J147" i="1"/>
  <c r="C148" i="1"/>
  <c r="J148" i="1"/>
  <c r="C149" i="1"/>
  <c r="J149" i="1"/>
  <c r="C150" i="1"/>
  <c r="J150" i="1"/>
  <c r="C151" i="1"/>
  <c r="J151" i="1"/>
  <c r="C152" i="1"/>
  <c r="J152" i="1"/>
  <c r="C153" i="1"/>
  <c r="J153" i="1"/>
  <c r="C154" i="1"/>
  <c r="J154" i="1"/>
  <c r="C155" i="1"/>
  <c r="J155" i="1"/>
  <c r="C156" i="1"/>
  <c r="J156" i="1"/>
  <c r="C157" i="1"/>
  <c r="J157" i="1"/>
  <c r="C158" i="1"/>
  <c r="J158" i="1"/>
  <c r="C159" i="1"/>
  <c r="J159" i="1"/>
  <c r="C160" i="1"/>
  <c r="J160" i="1"/>
  <c r="C161" i="1"/>
  <c r="J161" i="1"/>
  <c r="C162" i="1"/>
  <c r="J162" i="1"/>
  <c r="C163" i="1"/>
  <c r="J163" i="1"/>
  <c r="C164" i="1"/>
  <c r="J164" i="1"/>
  <c r="C165" i="1"/>
  <c r="J165" i="1"/>
  <c r="C166" i="1"/>
  <c r="J166" i="1"/>
  <c r="C167" i="1"/>
  <c r="J167" i="1"/>
  <c r="C168" i="1"/>
  <c r="J168" i="1"/>
  <c r="C169" i="1"/>
  <c r="J169" i="1"/>
  <c r="C170" i="1"/>
  <c r="J170" i="1"/>
  <c r="C171" i="1"/>
  <c r="J171" i="1"/>
  <c r="C172" i="1"/>
  <c r="J172" i="1"/>
  <c r="C173" i="1"/>
  <c r="J173" i="1"/>
  <c r="C174" i="1"/>
  <c r="J174" i="1"/>
  <c r="C175" i="1"/>
  <c r="J175" i="1"/>
  <c r="C176" i="1"/>
  <c r="J176" i="1"/>
  <c r="C177" i="1"/>
  <c r="J177" i="1"/>
  <c r="C178" i="1"/>
  <c r="J178" i="1"/>
  <c r="C179" i="1"/>
  <c r="J179" i="1"/>
  <c r="C180" i="1"/>
  <c r="J180" i="1"/>
  <c r="C181" i="1"/>
  <c r="J181" i="1"/>
  <c r="C182" i="1"/>
  <c r="J182" i="1"/>
  <c r="C183" i="1"/>
  <c r="J183" i="1"/>
  <c r="C184" i="1"/>
  <c r="J184" i="1"/>
  <c r="C185" i="1"/>
  <c r="J185" i="1"/>
  <c r="C186" i="1"/>
  <c r="J186" i="1"/>
  <c r="C187" i="1"/>
  <c r="J187" i="1"/>
  <c r="C188" i="1"/>
  <c r="J188" i="1"/>
  <c r="C189" i="1"/>
  <c r="J189" i="1"/>
  <c r="C190" i="1"/>
  <c r="J190" i="1"/>
  <c r="C191" i="1"/>
  <c r="J191" i="1"/>
  <c r="C192" i="1"/>
  <c r="J192" i="1"/>
  <c r="C193" i="1"/>
  <c r="J193" i="1"/>
  <c r="C194" i="1"/>
  <c r="J194" i="1"/>
  <c r="C195" i="1"/>
  <c r="J195" i="1"/>
  <c r="C196" i="1"/>
  <c r="J196" i="1"/>
  <c r="C197" i="1"/>
  <c r="J197" i="1"/>
  <c r="C198" i="1"/>
  <c r="J198" i="1"/>
  <c r="C199" i="1"/>
  <c r="J199" i="1"/>
  <c r="C200" i="1"/>
  <c r="J200" i="1"/>
  <c r="C201" i="1"/>
  <c r="J201" i="1"/>
  <c r="C202" i="1"/>
  <c r="J202" i="1"/>
  <c r="C203" i="1"/>
  <c r="J203" i="1"/>
  <c r="C204" i="1"/>
  <c r="J204" i="1"/>
  <c r="C205" i="1"/>
  <c r="J205" i="1"/>
  <c r="C206" i="1"/>
  <c r="J206" i="1"/>
  <c r="C207" i="1"/>
  <c r="J207" i="1"/>
  <c r="C208" i="1"/>
  <c r="J208" i="1"/>
  <c r="C209" i="1"/>
  <c r="J209" i="1"/>
  <c r="C210" i="1"/>
  <c r="J210" i="1"/>
  <c r="C211" i="1"/>
  <c r="J211" i="1"/>
  <c r="C212" i="1"/>
  <c r="J212" i="1"/>
  <c r="C213" i="1"/>
  <c r="J213" i="1"/>
  <c r="C214" i="1"/>
  <c r="J214" i="1"/>
  <c r="C215" i="1"/>
  <c r="J215" i="1"/>
  <c r="C216" i="1"/>
  <c r="J216" i="1"/>
  <c r="C217" i="1"/>
  <c r="J217" i="1"/>
  <c r="C218" i="1"/>
  <c r="J218" i="1"/>
  <c r="C219" i="1"/>
  <c r="J219" i="1"/>
  <c r="C220" i="1"/>
  <c r="J220" i="1"/>
  <c r="C221" i="1"/>
  <c r="J221" i="1"/>
  <c r="C222" i="1"/>
  <c r="J222" i="1"/>
  <c r="C223" i="1"/>
  <c r="J223" i="1"/>
  <c r="C224" i="1"/>
  <c r="J224" i="1"/>
  <c r="C225" i="1"/>
  <c r="J225" i="1"/>
  <c r="C226" i="1"/>
  <c r="J226" i="1"/>
  <c r="C227" i="1"/>
  <c r="J227" i="1"/>
  <c r="C228" i="1"/>
  <c r="J228" i="1"/>
  <c r="C229" i="1"/>
  <c r="J229" i="1"/>
  <c r="C230" i="1"/>
  <c r="J230" i="1"/>
  <c r="C231" i="1"/>
  <c r="J231" i="1"/>
  <c r="C232" i="1"/>
  <c r="J232" i="1"/>
  <c r="C233" i="1"/>
  <c r="J233" i="1"/>
  <c r="C234" i="1"/>
  <c r="J234" i="1"/>
  <c r="C235" i="1"/>
  <c r="J235" i="1"/>
  <c r="C236" i="1"/>
  <c r="J236" i="1"/>
  <c r="C237" i="1"/>
  <c r="J237" i="1"/>
  <c r="C238" i="1"/>
  <c r="J238" i="1"/>
  <c r="C239" i="1"/>
  <c r="J239" i="1"/>
  <c r="C240" i="1"/>
  <c r="J240" i="1"/>
  <c r="C241" i="1"/>
  <c r="J241" i="1"/>
  <c r="C242" i="1"/>
  <c r="J242" i="1"/>
  <c r="C243" i="1"/>
  <c r="J243" i="1"/>
  <c r="C244" i="1"/>
  <c r="J244" i="1"/>
  <c r="C245" i="1"/>
  <c r="J245" i="1"/>
  <c r="C246" i="1"/>
  <c r="J246" i="1"/>
  <c r="C247" i="1"/>
  <c r="J247" i="1"/>
  <c r="C248" i="1"/>
  <c r="J248" i="1"/>
  <c r="C249" i="1"/>
  <c r="J249" i="1"/>
  <c r="C250" i="1"/>
  <c r="J250" i="1"/>
  <c r="C251" i="1"/>
  <c r="J251" i="1"/>
  <c r="C252" i="1"/>
  <c r="J252" i="1"/>
  <c r="C253" i="1"/>
  <c r="J253" i="1"/>
  <c r="C254" i="1"/>
  <c r="J254" i="1"/>
  <c r="C255" i="1"/>
  <c r="J255" i="1"/>
  <c r="C256" i="1"/>
  <c r="J256" i="1"/>
  <c r="C257" i="1"/>
  <c r="J257" i="1"/>
  <c r="C258" i="1"/>
  <c r="J258" i="1"/>
  <c r="C259" i="1"/>
  <c r="J259" i="1"/>
  <c r="C260" i="1"/>
  <c r="J260" i="1"/>
  <c r="C261" i="1"/>
  <c r="J261" i="1"/>
  <c r="C262" i="1"/>
  <c r="J262" i="1"/>
  <c r="C263" i="1"/>
  <c r="J263" i="1"/>
  <c r="C264" i="1"/>
  <c r="J264" i="1"/>
  <c r="C265" i="1"/>
  <c r="J265" i="1"/>
  <c r="C266" i="1"/>
  <c r="J266" i="1"/>
  <c r="C267" i="1"/>
  <c r="J267" i="1"/>
  <c r="C268" i="1"/>
  <c r="J268" i="1"/>
  <c r="C269" i="1"/>
  <c r="J269" i="1"/>
  <c r="C270" i="1"/>
  <c r="J270" i="1"/>
  <c r="C271" i="1"/>
  <c r="J271" i="1"/>
  <c r="C272" i="1"/>
  <c r="J272" i="1"/>
  <c r="C273" i="1"/>
  <c r="J273" i="1"/>
  <c r="C274" i="1"/>
  <c r="J274" i="1"/>
  <c r="C275" i="1"/>
  <c r="J275" i="1"/>
  <c r="C276" i="1"/>
  <c r="J276" i="1"/>
  <c r="C277" i="1"/>
  <c r="J277" i="1"/>
  <c r="C278" i="1"/>
  <c r="J278" i="1"/>
  <c r="C279" i="1"/>
  <c r="J279" i="1"/>
  <c r="C280" i="1"/>
  <c r="J280" i="1"/>
  <c r="C281" i="1"/>
  <c r="J281" i="1"/>
  <c r="C282" i="1"/>
  <c r="J282" i="1"/>
  <c r="C283" i="1"/>
  <c r="J283" i="1"/>
  <c r="C284" i="1"/>
  <c r="J284" i="1"/>
  <c r="C285" i="1"/>
  <c r="J285" i="1"/>
  <c r="C286" i="1"/>
  <c r="J286" i="1"/>
  <c r="C287" i="1"/>
  <c r="J287" i="1"/>
  <c r="C288" i="1"/>
  <c r="J288" i="1"/>
  <c r="C289" i="1"/>
  <c r="J289" i="1"/>
  <c r="C290" i="1"/>
  <c r="J290" i="1"/>
  <c r="C291" i="1"/>
  <c r="J291" i="1"/>
  <c r="C292" i="1"/>
  <c r="J292" i="1"/>
  <c r="C293" i="1"/>
  <c r="J293" i="1"/>
  <c r="C294" i="1"/>
  <c r="J294" i="1"/>
  <c r="C295" i="1"/>
  <c r="J295" i="1"/>
  <c r="C296" i="1"/>
  <c r="J296" i="1"/>
  <c r="C297" i="1"/>
  <c r="J297" i="1"/>
  <c r="C298" i="1"/>
  <c r="J298" i="1"/>
  <c r="C299" i="1"/>
  <c r="J299" i="1"/>
  <c r="C300" i="1"/>
  <c r="J300" i="1"/>
  <c r="C301" i="1"/>
  <c r="J301" i="1"/>
  <c r="C302" i="1"/>
  <c r="J302" i="1"/>
  <c r="C303" i="1"/>
  <c r="J303" i="1"/>
  <c r="C304" i="1"/>
  <c r="J304" i="1"/>
  <c r="C305" i="1"/>
  <c r="J305" i="1"/>
  <c r="C306" i="1"/>
  <c r="J306" i="1"/>
  <c r="C307" i="1"/>
  <c r="J307" i="1"/>
  <c r="C308" i="1"/>
  <c r="J308" i="1"/>
  <c r="C309" i="1"/>
  <c r="J309" i="1"/>
  <c r="C310" i="1"/>
  <c r="J310" i="1"/>
  <c r="C311" i="1"/>
  <c r="J311" i="1"/>
  <c r="C312" i="1"/>
  <c r="J312" i="1"/>
  <c r="C313" i="1"/>
  <c r="J313" i="1"/>
  <c r="C314" i="1"/>
  <c r="J314" i="1"/>
  <c r="C315" i="1"/>
  <c r="J315" i="1"/>
  <c r="C316" i="1"/>
  <c r="J316" i="1"/>
  <c r="C317" i="1"/>
  <c r="J317" i="1"/>
  <c r="C318" i="1"/>
  <c r="J318" i="1"/>
  <c r="C319" i="1"/>
  <c r="J319" i="1"/>
  <c r="C320" i="1"/>
  <c r="J320" i="1"/>
  <c r="C321" i="1"/>
  <c r="J321" i="1"/>
  <c r="C322" i="1"/>
  <c r="J322" i="1"/>
  <c r="C323" i="1"/>
  <c r="J323" i="1"/>
  <c r="C324" i="1"/>
  <c r="J324" i="1"/>
  <c r="C325" i="1"/>
  <c r="J325" i="1"/>
  <c r="C326" i="1"/>
  <c r="J326" i="1"/>
  <c r="C327" i="1"/>
  <c r="J327" i="1"/>
  <c r="C328" i="1"/>
  <c r="J328" i="1"/>
  <c r="C329" i="1"/>
  <c r="J329" i="1"/>
  <c r="C330" i="1"/>
  <c r="J330" i="1"/>
  <c r="C331" i="1"/>
  <c r="J331" i="1"/>
  <c r="C332" i="1"/>
  <c r="J332" i="1"/>
  <c r="C333" i="1"/>
  <c r="J333" i="1"/>
  <c r="C334" i="1"/>
  <c r="J334" i="1"/>
  <c r="C335" i="1"/>
  <c r="J335" i="1"/>
  <c r="C336" i="1"/>
  <c r="J336" i="1"/>
  <c r="C337" i="1"/>
  <c r="J337" i="1"/>
  <c r="C338" i="1"/>
  <c r="J338" i="1"/>
  <c r="C339" i="1"/>
  <c r="J339" i="1"/>
  <c r="C340" i="1"/>
  <c r="J340" i="1"/>
  <c r="C341" i="1"/>
  <c r="J341" i="1"/>
  <c r="C342" i="1"/>
  <c r="J342" i="1"/>
  <c r="C343" i="1"/>
  <c r="J343" i="1"/>
  <c r="C344" i="1"/>
  <c r="J344" i="1"/>
  <c r="C345" i="1"/>
  <c r="J345" i="1"/>
  <c r="C346" i="1"/>
  <c r="J346" i="1"/>
  <c r="C347" i="1"/>
  <c r="J347" i="1"/>
  <c r="C348" i="1"/>
  <c r="J348" i="1"/>
  <c r="C349" i="1"/>
  <c r="J349" i="1"/>
  <c r="C350" i="1"/>
  <c r="J350" i="1"/>
  <c r="C351" i="1"/>
  <c r="J351" i="1"/>
  <c r="C352" i="1"/>
  <c r="J352" i="1"/>
  <c r="C353" i="1"/>
  <c r="J353" i="1"/>
  <c r="C354" i="1"/>
  <c r="J354" i="1"/>
  <c r="C355" i="1"/>
  <c r="J355" i="1"/>
  <c r="C356" i="1"/>
  <c r="J356" i="1"/>
  <c r="C357" i="1"/>
  <c r="J357" i="1"/>
  <c r="C358" i="1"/>
  <c r="J358" i="1"/>
  <c r="C359" i="1"/>
  <c r="J359" i="1"/>
  <c r="C360" i="1"/>
  <c r="J360" i="1"/>
  <c r="C361" i="1"/>
  <c r="J361" i="1"/>
  <c r="C362" i="1"/>
  <c r="J362" i="1"/>
  <c r="C363" i="1"/>
  <c r="J363" i="1"/>
  <c r="C364" i="1"/>
  <c r="J364" i="1"/>
  <c r="C365" i="1"/>
  <c r="J365" i="1"/>
  <c r="C366" i="1"/>
  <c r="J366" i="1"/>
  <c r="C367" i="1"/>
  <c r="J367" i="1"/>
  <c r="C368" i="1"/>
  <c r="J368" i="1"/>
  <c r="C369" i="1"/>
  <c r="J369" i="1"/>
  <c r="C370" i="1"/>
  <c r="J370" i="1"/>
  <c r="C371" i="1"/>
  <c r="J371" i="1"/>
  <c r="C372" i="1"/>
  <c r="J372" i="1"/>
  <c r="C373" i="1"/>
  <c r="J373" i="1"/>
  <c r="C374" i="1"/>
  <c r="J374" i="1"/>
  <c r="C375" i="1"/>
  <c r="J375" i="1"/>
  <c r="C376" i="1"/>
  <c r="J376" i="1"/>
  <c r="C377" i="1"/>
  <c r="J377" i="1"/>
  <c r="C378" i="1"/>
  <c r="J378" i="1"/>
  <c r="C379" i="1"/>
  <c r="J379" i="1"/>
  <c r="C380" i="1"/>
  <c r="J380" i="1"/>
  <c r="C381" i="1"/>
  <c r="J381" i="1"/>
  <c r="C382" i="1"/>
  <c r="J382" i="1"/>
  <c r="C383" i="1"/>
  <c r="J383" i="1"/>
  <c r="C384" i="1"/>
  <c r="J384" i="1"/>
  <c r="C385" i="1"/>
  <c r="J385" i="1"/>
  <c r="C386" i="1"/>
  <c r="J386" i="1"/>
  <c r="C387" i="1"/>
  <c r="J387" i="1"/>
  <c r="C388" i="1"/>
  <c r="J388" i="1"/>
  <c r="C389" i="1"/>
  <c r="J389" i="1"/>
  <c r="C390" i="1"/>
  <c r="J390" i="1"/>
  <c r="C391" i="1"/>
  <c r="J391" i="1"/>
  <c r="C392" i="1"/>
  <c r="J392" i="1"/>
  <c r="C393" i="1"/>
  <c r="J393" i="1"/>
  <c r="C394" i="1"/>
  <c r="J394" i="1"/>
  <c r="C395" i="1"/>
  <c r="J395" i="1"/>
  <c r="C396" i="1"/>
  <c r="J396" i="1"/>
  <c r="C397" i="1"/>
  <c r="J397" i="1"/>
  <c r="C398" i="1"/>
  <c r="J398" i="1"/>
  <c r="C399" i="1"/>
  <c r="J399" i="1"/>
  <c r="C400" i="1"/>
  <c r="J400" i="1"/>
  <c r="C401" i="1"/>
  <c r="J401" i="1"/>
  <c r="C402" i="1"/>
  <c r="J402" i="1"/>
  <c r="C403" i="1"/>
  <c r="J403" i="1"/>
  <c r="C404" i="1"/>
  <c r="J404" i="1"/>
  <c r="C405" i="1"/>
  <c r="J405" i="1"/>
  <c r="C406" i="1"/>
  <c r="J406" i="1"/>
  <c r="C407" i="1"/>
  <c r="J407" i="1"/>
  <c r="C408" i="1"/>
  <c r="J408" i="1"/>
  <c r="C409" i="1"/>
  <c r="J409" i="1"/>
  <c r="C410" i="1"/>
  <c r="J410" i="1"/>
  <c r="C411" i="1"/>
  <c r="J411" i="1"/>
  <c r="C412" i="1"/>
  <c r="J412" i="1"/>
  <c r="C413" i="1"/>
  <c r="J413" i="1"/>
  <c r="C414" i="1"/>
  <c r="J414" i="1"/>
  <c r="C415" i="1"/>
  <c r="J415" i="1"/>
  <c r="C416" i="1"/>
  <c r="J416" i="1"/>
  <c r="C417" i="1"/>
  <c r="J417" i="1"/>
  <c r="C418" i="1"/>
  <c r="J418" i="1"/>
  <c r="C419" i="1"/>
  <c r="J419" i="1"/>
  <c r="C420" i="1"/>
  <c r="J420" i="1"/>
  <c r="C421" i="1"/>
  <c r="J421" i="1"/>
  <c r="C422" i="1"/>
  <c r="J422" i="1"/>
  <c r="C423" i="1"/>
  <c r="J423" i="1"/>
  <c r="C424" i="1"/>
  <c r="J424" i="1"/>
  <c r="C425" i="1"/>
  <c r="J425" i="1"/>
  <c r="C426" i="1"/>
  <c r="J426" i="1"/>
  <c r="C427" i="1"/>
  <c r="J427" i="1"/>
  <c r="C428" i="1"/>
  <c r="J428" i="1"/>
  <c r="C429" i="1"/>
  <c r="J429" i="1"/>
  <c r="C430" i="1"/>
  <c r="J430" i="1"/>
  <c r="C431" i="1"/>
  <c r="J431" i="1"/>
  <c r="C432" i="1"/>
  <c r="J432" i="1"/>
  <c r="C433" i="1"/>
  <c r="J433" i="1"/>
  <c r="C434" i="1"/>
  <c r="J434" i="1"/>
  <c r="C435" i="1"/>
  <c r="J435" i="1"/>
  <c r="C436" i="1"/>
  <c r="J436" i="1"/>
  <c r="C437" i="1"/>
  <c r="J437" i="1"/>
  <c r="C438" i="1"/>
  <c r="J438" i="1"/>
  <c r="C439" i="1"/>
  <c r="J439" i="1"/>
  <c r="C440" i="1"/>
  <c r="J440" i="1"/>
  <c r="C441" i="1"/>
  <c r="J441" i="1"/>
  <c r="C442" i="1"/>
  <c r="J442" i="1"/>
  <c r="C443" i="1"/>
  <c r="J443" i="1"/>
  <c r="C444" i="1"/>
  <c r="J444" i="1"/>
  <c r="C445" i="1"/>
  <c r="J445" i="1"/>
  <c r="C446" i="1"/>
  <c r="J446" i="1"/>
  <c r="C447" i="1"/>
  <c r="J447" i="1"/>
  <c r="C448" i="1"/>
  <c r="J448" i="1"/>
  <c r="C449" i="1"/>
  <c r="J449" i="1"/>
  <c r="C450" i="1"/>
  <c r="J450" i="1"/>
  <c r="C451" i="1"/>
  <c r="J451" i="1"/>
  <c r="C452" i="1"/>
  <c r="J452" i="1"/>
  <c r="C453" i="1"/>
  <c r="J453" i="1"/>
  <c r="C454" i="1"/>
  <c r="J454" i="1"/>
  <c r="C455" i="1"/>
  <c r="J455" i="1"/>
  <c r="C456" i="1"/>
  <c r="J456" i="1"/>
  <c r="C457" i="1"/>
  <c r="J457" i="1"/>
  <c r="C458" i="1"/>
  <c r="J458" i="1"/>
  <c r="C459" i="1"/>
  <c r="J459" i="1"/>
  <c r="C460" i="1"/>
  <c r="J460" i="1"/>
  <c r="C461" i="1"/>
  <c r="J461" i="1"/>
  <c r="C462" i="1"/>
  <c r="J462" i="1"/>
  <c r="C463" i="1"/>
  <c r="J463" i="1"/>
  <c r="C464" i="1"/>
  <c r="J464" i="1"/>
  <c r="C465" i="1"/>
  <c r="J465" i="1"/>
  <c r="C466" i="1"/>
  <c r="J466" i="1"/>
  <c r="C467" i="1"/>
  <c r="J467" i="1"/>
  <c r="C468" i="1"/>
  <c r="J468" i="1"/>
  <c r="C469" i="1"/>
  <c r="J469" i="1"/>
  <c r="C470" i="1"/>
  <c r="J470" i="1"/>
  <c r="C471" i="1"/>
  <c r="J471" i="1"/>
  <c r="C472" i="1"/>
  <c r="J472" i="1"/>
  <c r="C473" i="1"/>
  <c r="J473" i="1"/>
  <c r="C474" i="1"/>
  <c r="J474" i="1"/>
  <c r="C475" i="1"/>
  <c r="J475" i="1"/>
  <c r="C476" i="1"/>
  <c r="J476" i="1"/>
  <c r="C477" i="1"/>
  <c r="J477" i="1"/>
  <c r="C478" i="1"/>
  <c r="J478" i="1"/>
  <c r="C479" i="1"/>
  <c r="J479" i="1"/>
  <c r="C480" i="1"/>
  <c r="J480" i="1"/>
  <c r="C481" i="1"/>
  <c r="J481" i="1"/>
  <c r="C482" i="1"/>
  <c r="J482" i="1"/>
  <c r="C483" i="1"/>
  <c r="J483" i="1"/>
  <c r="C484" i="1"/>
  <c r="J484" i="1"/>
  <c r="C485" i="1"/>
  <c r="J485" i="1"/>
  <c r="C486" i="1"/>
  <c r="J486" i="1"/>
  <c r="C487" i="1"/>
  <c r="J487" i="1"/>
  <c r="C488" i="1"/>
  <c r="J488" i="1"/>
  <c r="C489" i="1"/>
  <c r="J489" i="1"/>
  <c r="C490" i="1"/>
  <c r="J490" i="1"/>
  <c r="C491" i="1"/>
  <c r="J491" i="1"/>
  <c r="C492" i="1"/>
  <c r="J492" i="1"/>
  <c r="C493" i="1"/>
  <c r="J493" i="1"/>
  <c r="C494" i="1"/>
  <c r="J494" i="1"/>
  <c r="C495" i="1"/>
  <c r="J495" i="1"/>
  <c r="C496" i="1"/>
  <c r="J496" i="1"/>
  <c r="C497" i="1"/>
  <c r="J497" i="1"/>
  <c r="C498" i="1"/>
  <c r="J498" i="1"/>
  <c r="C499" i="1"/>
  <c r="J499" i="1"/>
  <c r="C500" i="1"/>
  <c r="J500" i="1"/>
  <c r="C501" i="1"/>
  <c r="J501" i="1"/>
  <c r="C502" i="1"/>
  <c r="J502" i="1"/>
  <c r="C503" i="1"/>
  <c r="J503" i="1"/>
  <c r="C504" i="1"/>
  <c r="J504" i="1"/>
  <c r="C505" i="1"/>
  <c r="J505" i="1"/>
  <c r="C506" i="1"/>
  <c r="J506" i="1"/>
  <c r="C507" i="1"/>
  <c r="J507" i="1"/>
  <c r="C508" i="1"/>
  <c r="J508" i="1"/>
  <c r="C509" i="1"/>
  <c r="J509" i="1"/>
  <c r="C510" i="1"/>
  <c r="J510" i="1"/>
  <c r="C511" i="1"/>
  <c r="J511" i="1"/>
  <c r="C512" i="1"/>
  <c r="J512" i="1"/>
  <c r="C513" i="1"/>
  <c r="J513" i="1"/>
  <c r="C514" i="1"/>
  <c r="J514" i="1"/>
  <c r="C515" i="1"/>
  <c r="J515" i="1"/>
  <c r="C516" i="1"/>
  <c r="J516" i="1"/>
  <c r="C517" i="1"/>
  <c r="J517" i="1"/>
  <c r="C518" i="1"/>
  <c r="J518" i="1"/>
  <c r="C519" i="1"/>
  <c r="J519" i="1"/>
  <c r="C520" i="1"/>
  <c r="J520" i="1"/>
  <c r="C521" i="1"/>
  <c r="J521" i="1"/>
  <c r="C522" i="1"/>
  <c r="J522" i="1"/>
  <c r="C523" i="1"/>
  <c r="J523" i="1"/>
  <c r="C524" i="1"/>
  <c r="J524" i="1"/>
  <c r="C525" i="1"/>
  <c r="J525" i="1"/>
  <c r="C526" i="1"/>
  <c r="J526" i="1"/>
  <c r="C527" i="1"/>
  <c r="J527" i="1"/>
  <c r="C528" i="1"/>
  <c r="J528" i="1"/>
  <c r="C529" i="1"/>
  <c r="J529" i="1"/>
  <c r="C530" i="1"/>
  <c r="J530" i="1"/>
  <c r="C531" i="1"/>
  <c r="J531" i="1"/>
  <c r="C532" i="1"/>
  <c r="J532" i="1"/>
  <c r="C533" i="1"/>
  <c r="J533" i="1"/>
  <c r="C534" i="1"/>
  <c r="J534" i="1"/>
  <c r="C535" i="1"/>
  <c r="J535" i="1"/>
  <c r="C536" i="1"/>
  <c r="J536" i="1"/>
  <c r="C537" i="1"/>
  <c r="J537" i="1"/>
  <c r="C538" i="1"/>
  <c r="J538" i="1"/>
  <c r="C539" i="1"/>
  <c r="J539" i="1"/>
  <c r="C540" i="1"/>
  <c r="J540" i="1"/>
  <c r="C541" i="1"/>
  <c r="J541" i="1"/>
  <c r="C542" i="1"/>
  <c r="J542" i="1"/>
  <c r="C543" i="1"/>
  <c r="J543" i="1"/>
  <c r="C544" i="1"/>
  <c r="J544" i="1"/>
  <c r="C545" i="1"/>
  <c r="J545" i="1"/>
  <c r="C546" i="1"/>
  <c r="J546" i="1"/>
  <c r="C547" i="1"/>
  <c r="J547" i="1"/>
  <c r="C548" i="1"/>
  <c r="J548" i="1"/>
  <c r="C549" i="1"/>
  <c r="J549" i="1"/>
  <c r="C550" i="1"/>
  <c r="J550" i="1"/>
  <c r="C551" i="1"/>
  <c r="J551" i="1"/>
  <c r="C552" i="1"/>
  <c r="J552" i="1"/>
  <c r="C553" i="1"/>
  <c r="J553" i="1"/>
  <c r="C554" i="1"/>
  <c r="J554" i="1"/>
  <c r="C555" i="1"/>
  <c r="J555" i="1"/>
  <c r="C556" i="1"/>
  <c r="J556" i="1"/>
  <c r="C557" i="1"/>
  <c r="J557" i="1"/>
  <c r="C558" i="1"/>
  <c r="J558" i="1"/>
  <c r="C559" i="1"/>
  <c r="J559" i="1"/>
  <c r="C560" i="1"/>
  <c r="J560" i="1"/>
  <c r="C561" i="1"/>
  <c r="J561" i="1"/>
  <c r="C562" i="1"/>
  <c r="J562" i="1"/>
  <c r="C563" i="1"/>
  <c r="J563" i="1"/>
  <c r="C564" i="1"/>
  <c r="J564" i="1"/>
  <c r="C565" i="1"/>
  <c r="J565" i="1"/>
  <c r="C566" i="1"/>
  <c r="J566" i="1"/>
  <c r="C567" i="1"/>
  <c r="J567" i="1"/>
  <c r="C568" i="1"/>
  <c r="J568" i="1"/>
  <c r="C569" i="1"/>
  <c r="J569" i="1"/>
  <c r="C570" i="1"/>
  <c r="J570" i="1"/>
  <c r="C571" i="1"/>
  <c r="J571" i="1"/>
  <c r="C572" i="1"/>
  <c r="J572" i="1"/>
  <c r="C573" i="1"/>
  <c r="J573" i="1"/>
  <c r="C574" i="1"/>
  <c r="J574" i="1"/>
  <c r="C575" i="1"/>
  <c r="J575" i="1"/>
  <c r="C576" i="1"/>
  <c r="J576" i="1"/>
  <c r="C577" i="1"/>
  <c r="J577" i="1"/>
  <c r="C578" i="1"/>
  <c r="J578" i="1"/>
  <c r="C579" i="1"/>
  <c r="J579" i="1"/>
  <c r="C580" i="1"/>
  <c r="J580" i="1"/>
  <c r="C581" i="1"/>
  <c r="J581" i="1"/>
  <c r="C582" i="1"/>
  <c r="J582" i="1"/>
  <c r="C583" i="1"/>
  <c r="J583" i="1"/>
  <c r="C584" i="1"/>
  <c r="J584" i="1"/>
  <c r="C585" i="1"/>
  <c r="J585" i="1"/>
  <c r="C586" i="1"/>
  <c r="J586" i="1"/>
  <c r="C587" i="1"/>
  <c r="J587" i="1"/>
  <c r="C588" i="1"/>
  <c r="J588" i="1"/>
  <c r="C589" i="1"/>
  <c r="J589" i="1"/>
  <c r="C590" i="1"/>
  <c r="J590" i="1"/>
  <c r="C591" i="1"/>
  <c r="J591" i="1"/>
  <c r="C592" i="1"/>
  <c r="J592" i="1"/>
  <c r="C593" i="1"/>
  <c r="J593" i="1"/>
  <c r="C594" i="1"/>
  <c r="J594" i="1"/>
  <c r="C595" i="1"/>
  <c r="J595" i="1"/>
  <c r="C596" i="1"/>
  <c r="J596" i="1"/>
  <c r="C597" i="1"/>
  <c r="J597" i="1"/>
  <c r="C598" i="1"/>
  <c r="J598" i="1"/>
  <c r="C599" i="1"/>
  <c r="J599" i="1"/>
  <c r="C600" i="1"/>
  <c r="J600" i="1"/>
  <c r="C601" i="1"/>
  <c r="J601" i="1"/>
  <c r="C602" i="1"/>
  <c r="J602" i="1"/>
  <c r="C603" i="1"/>
  <c r="J603" i="1"/>
  <c r="C604" i="1"/>
  <c r="J604" i="1"/>
  <c r="C605" i="1"/>
  <c r="J605" i="1"/>
  <c r="C606" i="1"/>
  <c r="J606" i="1"/>
  <c r="C607" i="1"/>
  <c r="J607" i="1"/>
  <c r="C608" i="1"/>
  <c r="J608" i="1"/>
  <c r="C609" i="1"/>
  <c r="J609" i="1"/>
  <c r="C610" i="1"/>
  <c r="J610" i="1"/>
  <c r="C611" i="1"/>
  <c r="J611" i="1"/>
  <c r="C612" i="1"/>
  <c r="J612" i="1"/>
  <c r="C613" i="1"/>
  <c r="J613" i="1"/>
  <c r="C614" i="1"/>
  <c r="J614" i="1"/>
  <c r="C615" i="1"/>
  <c r="J615" i="1"/>
  <c r="C616" i="1"/>
  <c r="J616" i="1"/>
  <c r="C617" i="1"/>
  <c r="J617" i="1"/>
  <c r="C618" i="1"/>
  <c r="J618" i="1"/>
  <c r="C619" i="1"/>
  <c r="J619" i="1"/>
  <c r="C620" i="1"/>
  <c r="J620" i="1"/>
  <c r="C621" i="1"/>
  <c r="J621" i="1"/>
  <c r="C622" i="1"/>
  <c r="J622" i="1"/>
  <c r="C623" i="1"/>
  <c r="J623" i="1"/>
  <c r="C624" i="1"/>
  <c r="J624" i="1"/>
  <c r="C625" i="1"/>
  <c r="J625" i="1"/>
  <c r="C626" i="1"/>
  <c r="J626" i="1"/>
  <c r="C627" i="1"/>
  <c r="J627" i="1"/>
  <c r="C628" i="1"/>
  <c r="J628" i="1"/>
  <c r="C629" i="1"/>
  <c r="J629" i="1"/>
  <c r="C630" i="1"/>
  <c r="J630" i="1"/>
  <c r="C631" i="1"/>
  <c r="J631" i="1"/>
  <c r="C632" i="1"/>
  <c r="J632" i="1"/>
  <c r="C633" i="1"/>
  <c r="J633" i="1"/>
  <c r="C634" i="1"/>
  <c r="J634" i="1"/>
  <c r="C635" i="1"/>
  <c r="J635" i="1"/>
  <c r="C636" i="1"/>
  <c r="J636" i="1"/>
  <c r="C637" i="1"/>
  <c r="J637" i="1"/>
  <c r="C638" i="1"/>
  <c r="J638" i="1"/>
  <c r="C639" i="1"/>
  <c r="J639" i="1"/>
  <c r="C640" i="1"/>
  <c r="J640" i="1"/>
  <c r="C641" i="1"/>
  <c r="J641" i="1"/>
  <c r="C642" i="1"/>
  <c r="J642" i="1"/>
  <c r="C643" i="1"/>
  <c r="J643" i="1"/>
  <c r="C644" i="1"/>
  <c r="J644" i="1"/>
  <c r="C645" i="1"/>
  <c r="J645" i="1"/>
  <c r="C646" i="1"/>
  <c r="J646" i="1"/>
  <c r="C647" i="1"/>
  <c r="J647" i="1"/>
  <c r="C648" i="1"/>
  <c r="J648" i="1"/>
  <c r="C649" i="1"/>
  <c r="J649" i="1"/>
  <c r="C650" i="1"/>
  <c r="J650" i="1"/>
  <c r="C651" i="1"/>
  <c r="J651" i="1"/>
  <c r="C652" i="1"/>
  <c r="J652" i="1"/>
  <c r="C653" i="1"/>
  <c r="J653" i="1"/>
  <c r="C654" i="1"/>
  <c r="J654" i="1"/>
  <c r="C655" i="1"/>
  <c r="J655" i="1"/>
  <c r="C656" i="1"/>
  <c r="J656" i="1"/>
  <c r="C657" i="1"/>
  <c r="J657" i="1"/>
  <c r="C658" i="1"/>
  <c r="J658" i="1"/>
  <c r="C659" i="1"/>
  <c r="J659" i="1"/>
  <c r="C660" i="1"/>
  <c r="J660" i="1"/>
  <c r="C661" i="1"/>
  <c r="J661" i="1"/>
  <c r="C662" i="1"/>
  <c r="J662" i="1"/>
  <c r="C663" i="1"/>
  <c r="J663" i="1"/>
  <c r="C664" i="1"/>
  <c r="J664" i="1"/>
  <c r="C665" i="1"/>
  <c r="J665" i="1"/>
  <c r="C666" i="1"/>
  <c r="J666" i="1"/>
  <c r="C667" i="1"/>
  <c r="J667" i="1"/>
  <c r="C668" i="1"/>
  <c r="J668" i="1"/>
  <c r="C669" i="1"/>
  <c r="J669" i="1"/>
  <c r="C670" i="1"/>
  <c r="J670" i="1"/>
  <c r="C671" i="1"/>
  <c r="J671" i="1"/>
  <c r="C672" i="1"/>
  <c r="J672" i="1"/>
  <c r="C673" i="1"/>
  <c r="J673" i="1"/>
  <c r="C674" i="1"/>
  <c r="J674" i="1"/>
  <c r="C675" i="1"/>
  <c r="J675" i="1"/>
  <c r="C676" i="1"/>
  <c r="J676" i="1"/>
  <c r="C677" i="1"/>
  <c r="J677" i="1"/>
  <c r="C678" i="1"/>
  <c r="J678" i="1"/>
  <c r="C679" i="1"/>
  <c r="J679" i="1"/>
  <c r="C680" i="1"/>
  <c r="J680" i="1"/>
  <c r="C681" i="1"/>
  <c r="J681" i="1"/>
  <c r="C682" i="1"/>
  <c r="J682" i="1"/>
  <c r="C683" i="1"/>
  <c r="J683" i="1"/>
  <c r="C684" i="1"/>
  <c r="J684" i="1"/>
  <c r="C685" i="1"/>
  <c r="J685" i="1"/>
  <c r="C686" i="1"/>
  <c r="J686" i="1"/>
  <c r="C687" i="1"/>
  <c r="J687" i="1"/>
  <c r="C688" i="1"/>
  <c r="J688" i="1"/>
  <c r="C689" i="1"/>
  <c r="J689" i="1"/>
  <c r="C690" i="1"/>
  <c r="J690" i="1"/>
  <c r="C691" i="1"/>
  <c r="J691" i="1"/>
  <c r="C692" i="1"/>
  <c r="J692" i="1"/>
  <c r="C693" i="1"/>
  <c r="J693" i="1"/>
  <c r="C694" i="1"/>
  <c r="J694" i="1"/>
  <c r="C695" i="1"/>
  <c r="J695" i="1"/>
  <c r="C696" i="1"/>
  <c r="J696" i="1"/>
  <c r="C697" i="1"/>
  <c r="J697" i="1"/>
  <c r="C698" i="1"/>
  <c r="J698" i="1"/>
  <c r="C699" i="1"/>
  <c r="J699" i="1"/>
  <c r="C700" i="1"/>
  <c r="J700" i="1"/>
  <c r="C701" i="1"/>
  <c r="J701" i="1"/>
  <c r="C702" i="1"/>
  <c r="J702" i="1"/>
  <c r="C703" i="1"/>
  <c r="J703" i="1"/>
  <c r="C704" i="1"/>
  <c r="J704" i="1"/>
  <c r="C705" i="1"/>
  <c r="J705" i="1"/>
  <c r="C706" i="1"/>
  <c r="J706" i="1"/>
  <c r="C707" i="1"/>
  <c r="J707" i="1"/>
  <c r="C708" i="1"/>
  <c r="J708" i="1"/>
  <c r="C709" i="1"/>
  <c r="J709" i="1"/>
  <c r="C710" i="1"/>
  <c r="J710" i="1"/>
  <c r="C711" i="1"/>
  <c r="J711" i="1"/>
  <c r="C712" i="1"/>
  <c r="J712" i="1"/>
  <c r="C713" i="1"/>
  <c r="J713" i="1"/>
  <c r="C714" i="1"/>
  <c r="J714" i="1"/>
  <c r="C715" i="1"/>
  <c r="J715" i="1"/>
  <c r="C716" i="1"/>
  <c r="J716" i="1"/>
  <c r="C717" i="1"/>
  <c r="J717" i="1"/>
  <c r="C718" i="1"/>
  <c r="J718" i="1"/>
  <c r="C719" i="1"/>
  <c r="J719" i="1"/>
  <c r="C720" i="1"/>
  <c r="J720" i="1"/>
  <c r="C721" i="1"/>
  <c r="J721" i="1"/>
  <c r="C722" i="1"/>
  <c r="J722" i="1"/>
  <c r="C723" i="1"/>
  <c r="J723" i="1"/>
  <c r="C724" i="1"/>
  <c r="J724" i="1"/>
  <c r="C725" i="1"/>
  <c r="J725" i="1"/>
  <c r="C726" i="1"/>
  <c r="J726" i="1"/>
  <c r="C727" i="1"/>
  <c r="J727" i="1"/>
  <c r="C728" i="1"/>
  <c r="J728" i="1"/>
  <c r="C729" i="1"/>
  <c r="J729" i="1"/>
  <c r="C730" i="1"/>
  <c r="J730" i="1"/>
  <c r="C731" i="1"/>
  <c r="J731" i="1"/>
  <c r="C732" i="1"/>
  <c r="J732" i="1"/>
  <c r="C733" i="1"/>
  <c r="J733" i="1"/>
  <c r="C734" i="1"/>
  <c r="J734" i="1"/>
  <c r="C735" i="1"/>
  <c r="J735" i="1"/>
  <c r="C736" i="1"/>
  <c r="J736" i="1"/>
  <c r="C737" i="1"/>
  <c r="J737" i="1"/>
  <c r="C738" i="1"/>
  <c r="J738" i="1"/>
  <c r="C739" i="1"/>
  <c r="J739" i="1"/>
  <c r="C740" i="1"/>
  <c r="J740" i="1"/>
  <c r="C741" i="1"/>
  <c r="J741" i="1"/>
  <c r="C742" i="1"/>
  <c r="J742" i="1"/>
  <c r="C743" i="1"/>
  <c r="J743" i="1"/>
  <c r="C744" i="1"/>
  <c r="J744" i="1"/>
  <c r="C745" i="1"/>
  <c r="J745" i="1"/>
  <c r="C746" i="1"/>
  <c r="J746" i="1"/>
  <c r="C747" i="1"/>
  <c r="J747" i="1"/>
  <c r="C748" i="1"/>
  <c r="J748" i="1"/>
  <c r="C749" i="1"/>
  <c r="J749" i="1"/>
  <c r="C750" i="1"/>
  <c r="J750" i="1"/>
  <c r="C751" i="1"/>
  <c r="J751" i="1"/>
  <c r="C752" i="1"/>
  <c r="J752" i="1"/>
  <c r="C753" i="1"/>
  <c r="J753" i="1"/>
  <c r="C754" i="1"/>
  <c r="J754" i="1"/>
  <c r="C755" i="1"/>
  <c r="J755" i="1"/>
  <c r="C756" i="1"/>
  <c r="J756" i="1"/>
  <c r="C757" i="1"/>
  <c r="J757" i="1"/>
  <c r="C758" i="1"/>
  <c r="J758" i="1"/>
  <c r="C759" i="1"/>
  <c r="J759" i="1"/>
  <c r="C760" i="1"/>
  <c r="J760" i="1"/>
  <c r="C761" i="1"/>
  <c r="J761" i="1"/>
  <c r="C762" i="1"/>
  <c r="J762" i="1"/>
  <c r="C763" i="1"/>
  <c r="J763" i="1"/>
  <c r="C764" i="1"/>
  <c r="J764" i="1"/>
  <c r="C765" i="1"/>
  <c r="J765" i="1"/>
  <c r="C766" i="1"/>
  <c r="J766" i="1"/>
  <c r="C767" i="1"/>
  <c r="J767" i="1"/>
  <c r="C768" i="1"/>
  <c r="J768" i="1"/>
  <c r="C769" i="1"/>
  <c r="J769" i="1"/>
  <c r="C770" i="1"/>
  <c r="J770" i="1"/>
  <c r="C771" i="1"/>
  <c r="J771" i="1"/>
  <c r="C772" i="1"/>
  <c r="J772" i="1"/>
  <c r="C773" i="1"/>
  <c r="J773" i="1"/>
  <c r="C774" i="1"/>
  <c r="J774" i="1"/>
  <c r="C775" i="1"/>
  <c r="J775" i="1"/>
  <c r="C776" i="1"/>
  <c r="J776" i="1"/>
  <c r="C777" i="1"/>
  <c r="J777" i="1"/>
  <c r="C778" i="1"/>
  <c r="J778" i="1"/>
  <c r="C779" i="1"/>
  <c r="J779" i="1"/>
  <c r="C780" i="1"/>
  <c r="J780" i="1"/>
  <c r="C781" i="1"/>
  <c r="J781" i="1"/>
  <c r="C782" i="1"/>
  <c r="J782" i="1"/>
  <c r="C783" i="1"/>
  <c r="J783" i="1"/>
  <c r="C784" i="1"/>
  <c r="J784" i="1"/>
  <c r="C785" i="1"/>
  <c r="J785" i="1"/>
  <c r="C786" i="1"/>
  <c r="J786" i="1"/>
  <c r="C787" i="1"/>
  <c r="J787" i="1"/>
  <c r="C788" i="1"/>
  <c r="J788" i="1"/>
  <c r="C789" i="1"/>
  <c r="J789" i="1"/>
  <c r="C790" i="1"/>
  <c r="J790" i="1"/>
  <c r="C791" i="1"/>
  <c r="J791" i="1"/>
  <c r="C792" i="1"/>
  <c r="J792" i="1"/>
  <c r="C793" i="1"/>
  <c r="J793" i="1"/>
  <c r="C794" i="1"/>
  <c r="J794" i="1"/>
  <c r="C795" i="1"/>
  <c r="J795" i="1"/>
  <c r="C796" i="1"/>
  <c r="J796" i="1"/>
  <c r="C797" i="1"/>
  <c r="J797" i="1"/>
  <c r="C798" i="1"/>
  <c r="J798" i="1"/>
  <c r="C799" i="1"/>
  <c r="J799" i="1"/>
  <c r="C800" i="1"/>
  <c r="J800" i="1"/>
  <c r="C801" i="1"/>
  <c r="J801" i="1"/>
  <c r="C802" i="1"/>
  <c r="J802" i="1"/>
  <c r="C803" i="1"/>
  <c r="J803" i="1"/>
  <c r="C804" i="1"/>
  <c r="J804" i="1"/>
  <c r="C805" i="1"/>
  <c r="J805" i="1"/>
  <c r="C806" i="1"/>
  <c r="J806" i="1"/>
  <c r="C807" i="1"/>
  <c r="J807" i="1"/>
  <c r="C808" i="1"/>
  <c r="J808" i="1"/>
  <c r="C809" i="1"/>
  <c r="J809" i="1"/>
  <c r="C810" i="1"/>
  <c r="J810" i="1"/>
  <c r="C811" i="1"/>
  <c r="J811" i="1"/>
  <c r="C812" i="1"/>
  <c r="J812" i="1"/>
  <c r="C813" i="1"/>
  <c r="J813" i="1"/>
  <c r="C814" i="1"/>
  <c r="J814" i="1"/>
  <c r="C815" i="1"/>
  <c r="J815" i="1"/>
  <c r="C816" i="1"/>
  <c r="J816" i="1"/>
  <c r="C817" i="1"/>
  <c r="J817" i="1"/>
  <c r="C818" i="1"/>
  <c r="J818" i="1"/>
  <c r="C819" i="1"/>
  <c r="J819" i="1"/>
  <c r="C820" i="1"/>
  <c r="J820" i="1"/>
  <c r="C821" i="1"/>
  <c r="J821" i="1"/>
  <c r="C822" i="1"/>
  <c r="J822" i="1"/>
  <c r="C823" i="1"/>
  <c r="J823" i="1"/>
  <c r="C824" i="1"/>
  <c r="J824" i="1"/>
  <c r="C825" i="1"/>
  <c r="J825" i="1"/>
  <c r="C826" i="1"/>
  <c r="J826" i="1"/>
  <c r="C827" i="1"/>
  <c r="J827" i="1"/>
  <c r="C828" i="1"/>
  <c r="J828" i="1"/>
  <c r="C829" i="1"/>
  <c r="J829" i="1"/>
  <c r="C830" i="1"/>
  <c r="J830" i="1"/>
  <c r="C831" i="1"/>
  <c r="J831" i="1"/>
  <c r="C832" i="1"/>
  <c r="J832" i="1"/>
  <c r="C833" i="1"/>
  <c r="J833" i="1"/>
  <c r="C834" i="1"/>
  <c r="J834" i="1"/>
  <c r="C835" i="1"/>
  <c r="J835" i="1"/>
  <c r="C836" i="1"/>
  <c r="J836" i="1"/>
  <c r="C837" i="1"/>
  <c r="J837" i="1"/>
  <c r="C838" i="1"/>
  <c r="J838" i="1"/>
  <c r="C839" i="1"/>
  <c r="J839" i="1"/>
  <c r="C840" i="1"/>
  <c r="J840" i="1"/>
  <c r="C841" i="1"/>
  <c r="J841" i="1"/>
  <c r="C842" i="1"/>
  <c r="J842" i="1"/>
  <c r="C843" i="1"/>
  <c r="J843" i="1"/>
  <c r="C844" i="1"/>
  <c r="J844" i="1"/>
  <c r="C845" i="1"/>
  <c r="J845" i="1"/>
  <c r="C846" i="1"/>
  <c r="J846" i="1"/>
  <c r="C847" i="1"/>
  <c r="J847" i="1"/>
  <c r="C848" i="1"/>
  <c r="J848" i="1"/>
  <c r="C849" i="1"/>
  <c r="J849" i="1"/>
  <c r="C850" i="1"/>
  <c r="J850" i="1"/>
  <c r="C851" i="1"/>
  <c r="J851" i="1"/>
  <c r="C852" i="1"/>
  <c r="J852" i="1"/>
  <c r="C853" i="1"/>
  <c r="J853" i="1"/>
  <c r="C854" i="1"/>
  <c r="J854" i="1"/>
  <c r="C855" i="1"/>
  <c r="J855" i="1"/>
  <c r="C856" i="1"/>
  <c r="J856" i="1"/>
  <c r="C857" i="1"/>
  <c r="J857" i="1"/>
  <c r="C858" i="1"/>
  <c r="J858" i="1"/>
  <c r="C859" i="1"/>
  <c r="J859" i="1"/>
  <c r="C860" i="1"/>
  <c r="J860" i="1"/>
  <c r="C861" i="1"/>
  <c r="J861" i="1"/>
  <c r="C862" i="1"/>
  <c r="J862" i="1"/>
  <c r="C863" i="1"/>
  <c r="J863" i="1"/>
  <c r="C864" i="1"/>
  <c r="J864" i="1"/>
  <c r="C865" i="1"/>
  <c r="J865" i="1"/>
  <c r="C866" i="1"/>
  <c r="J866" i="1"/>
  <c r="C867" i="1"/>
  <c r="J867" i="1"/>
  <c r="C868" i="1"/>
  <c r="J868" i="1"/>
  <c r="C869" i="1"/>
  <c r="J869" i="1"/>
  <c r="C870" i="1"/>
  <c r="J870" i="1"/>
  <c r="C871" i="1"/>
  <c r="J871" i="1"/>
  <c r="C872" i="1"/>
  <c r="J872" i="1"/>
  <c r="C873" i="1"/>
  <c r="J873" i="1"/>
  <c r="C874" i="1"/>
  <c r="J874" i="1"/>
  <c r="C875" i="1"/>
  <c r="J875" i="1"/>
  <c r="C876" i="1"/>
  <c r="J876" i="1"/>
  <c r="C877" i="1"/>
  <c r="J877" i="1"/>
  <c r="C878" i="1"/>
  <c r="J878" i="1"/>
  <c r="C879" i="1"/>
  <c r="J879" i="1"/>
  <c r="C880" i="1"/>
  <c r="J880" i="1"/>
  <c r="C881" i="1"/>
  <c r="J881" i="1"/>
  <c r="C882" i="1"/>
  <c r="J882" i="1"/>
  <c r="C883" i="1"/>
  <c r="J883" i="1"/>
  <c r="C884" i="1"/>
  <c r="J884" i="1"/>
  <c r="C885" i="1"/>
  <c r="J885" i="1"/>
  <c r="C886" i="1"/>
  <c r="J886" i="1"/>
  <c r="C887" i="1"/>
  <c r="J887" i="1"/>
  <c r="C888" i="1"/>
  <c r="J888" i="1"/>
  <c r="C889" i="1"/>
  <c r="J889" i="1"/>
  <c r="C890" i="1"/>
  <c r="J890" i="1"/>
  <c r="C891" i="1"/>
  <c r="J891" i="1"/>
  <c r="C892" i="1"/>
  <c r="J892" i="1"/>
  <c r="C893" i="1"/>
  <c r="J893" i="1"/>
  <c r="C894" i="1"/>
  <c r="J894" i="1"/>
  <c r="C895" i="1"/>
  <c r="J895" i="1"/>
  <c r="C896" i="1"/>
  <c r="J896" i="1"/>
  <c r="C897" i="1"/>
  <c r="J897" i="1"/>
  <c r="C898" i="1"/>
  <c r="J898" i="1"/>
  <c r="C899" i="1"/>
  <c r="J899" i="1"/>
  <c r="C900" i="1"/>
  <c r="J900" i="1"/>
  <c r="C901" i="1"/>
  <c r="J901" i="1"/>
  <c r="C902" i="1"/>
  <c r="J902" i="1"/>
  <c r="C903" i="1"/>
  <c r="J903" i="1"/>
  <c r="C904" i="1"/>
  <c r="J904" i="1"/>
  <c r="C905" i="1"/>
  <c r="J905" i="1"/>
  <c r="C906" i="1"/>
  <c r="J906" i="1"/>
  <c r="C907" i="1"/>
  <c r="J907" i="1"/>
  <c r="C908" i="1"/>
  <c r="J908" i="1"/>
  <c r="C909" i="1"/>
  <c r="J909" i="1"/>
  <c r="C910" i="1"/>
  <c r="J910" i="1"/>
  <c r="C911" i="1"/>
  <c r="J911" i="1"/>
  <c r="C912" i="1"/>
  <c r="J912" i="1"/>
  <c r="C913" i="1"/>
  <c r="J913" i="1"/>
  <c r="C914" i="1"/>
  <c r="J914" i="1"/>
  <c r="C915" i="1"/>
  <c r="J915" i="1"/>
  <c r="C916" i="1"/>
  <c r="J916" i="1"/>
  <c r="C917" i="1"/>
  <c r="J917" i="1"/>
  <c r="C918" i="1"/>
  <c r="J918" i="1"/>
  <c r="C919" i="1"/>
  <c r="J919" i="1"/>
  <c r="C920" i="1"/>
  <c r="J920" i="1"/>
  <c r="C921" i="1"/>
  <c r="J921" i="1"/>
  <c r="C922" i="1"/>
  <c r="J922" i="1"/>
  <c r="C923" i="1"/>
  <c r="J923" i="1"/>
  <c r="C924" i="1"/>
  <c r="J924" i="1"/>
  <c r="C925" i="1"/>
  <c r="J925" i="1"/>
  <c r="C926" i="1"/>
  <c r="J926" i="1"/>
  <c r="C927" i="1"/>
  <c r="J927" i="1"/>
  <c r="C928" i="1"/>
  <c r="J928" i="1"/>
  <c r="C929" i="1"/>
  <c r="J929" i="1"/>
  <c r="C930" i="1"/>
  <c r="J930" i="1"/>
  <c r="C931" i="1"/>
  <c r="J931" i="1"/>
  <c r="C932" i="1"/>
  <c r="J932" i="1"/>
  <c r="C933" i="1"/>
  <c r="J933" i="1"/>
  <c r="C934" i="1"/>
  <c r="J934" i="1"/>
  <c r="C935" i="1"/>
  <c r="J935" i="1"/>
  <c r="C936" i="1"/>
  <c r="J936" i="1"/>
  <c r="C937" i="1"/>
  <c r="J937" i="1"/>
  <c r="C938" i="1"/>
  <c r="J938" i="1"/>
  <c r="C939" i="1"/>
  <c r="J939" i="1"/>
  <c r="C940" i="1"/>
  <c r="J940" i="1"/>
  <c r="C941" i="1"/>
  <c r="J941" i="1"/>
  <c r="C942" i="1"/>
  <c r="J942" i="1"/>
  <c r="C943" i="1"/>
  <c r="J943" i="1"/>
  <c r="C944" i="1"/>
  <c r="J944" i="1"/>
  <c r="C945" i="1"/>
  <c r="J945" i="1"/>
  <c r="C946" i="1"/>
  <c r="J946" i="1"/>
  <c r="C947" i="1"/>
  <c r="J947" i="1"/>
  <c r="C948" i="1"/>
  <c r="J948" i="1"/>
  <c r="C949" i="1"/>
  <c r="J949" i="1"/>
  <c r="C950" i="1"/>
  <c r="J950" i="1"/>
  <c r="C951" i="1"/>
  <c r="J951" i="1"/>
  <c r="C952" i="1"/>
  <c r="J952" i="1"/>
  <c r="C953" i="1"/>
  <c r="J953" i="1"/>
  <c r="C954" i="1"/>
  <c r="J954" i="1"/>
  <c r="C955" i="1"/>
  <c r="J955" i="1"/>
  <c r="C956" i="1"/>
  <c r="J956" i="1"/>
  <c r="C957" i="1"/>
  <c r="J957" i="1"/>
  <c r="C958" i="1"/>
  <c r="J958" i="1"/>
  <c r="C959" i="1"/>
  <c r="J959" i="1"/>
  <c r="C960" i="1"/>
  <c r="J960" i="1"/>
  <c r="C961" i="1"/>
  <c r="J961" i="1"/>
  <c r="C962" i="1"/>
  <c r="J962" i="1"/>
  <c r="C963" i="1"/>
  <c r="J963" i="1"/>
  <c r="C964" i="1"/>
  <c r="J964" i="1"/>
  <c r="C965" i="1"/>
  <c r="J965" i="1"/>
  <c r="C966" i="1"/>
  <c r="J966" i="1"/>
  <c r="C967" i="1"/>
  <c r="J967" i="1"/>
  <c r="C968" i="1"/>
  <c r="J968" i="1"/>
  <c r="C969" i="1"/>
  <c r="J969" i="1"/>
  <c r="C970" i="1"/>
  <c r="J970" i="1"/>
  <c r="C971" i="1"/>
  <c r="J971" i="1"/>
  <c r="C972" i="1"/>
  <c r="J972" i="1"/>
  <c r="C973" i="1"/>
  <c r="J973" i="1"/>
  <c r="C974" i="1"/>
  <c r="J974" i="1"/>
  <c r="C975" i="1"/>
  <c r="J975" i="1"/>
  <c r="C976" i="1"/>
  <c r="J976" i="1"/>
  <c r="C977" i="1"/>
  <c r="J977" i="1"/>
  <c r="C978" i="1"/>
  <c r="J978" i="1"/>
  <c r="C979" i="1"/>
  <c r="J979" i="1"/>
  <c r="C980" i="1"/>
  <c r="J980" i="1"/>
  <c r="C981" i="1"/>
  <c r="J981" i="1"/>
  <c r="C982" i="1"/>
  <c r="J982" i="1"/>
  <c r="C983" i="1"/>
  <c r="J983" i="1"/>
  <c r="C984" i="1"/>
  <c r="J984" i="1"/>
  <c r="C985" i="1"/>
  <c r="J985" i="1"/>
  <c r="C986" i="1"/>
  <c r="J986" i="1"/>
  <c r="C987" i="1"/>
  <c r="J987" i="1"/>
  <c r="C988" i="1"/>
  <c r="J988" i="1"/>
  <c r="C989" i="1"/>
  <c r="J989" i="1"/>
  <c r="C990" i="1"/>
  <c r="J990" i="1"/>
  <c r="C991" i="1"/>
  <c r="J991" i="1"/>
  <c r="C992" i="1"/>
  <c r="J992" i="1"/>
  <c r="C993" i="1"/>
  <c r="J993" i="1"/>
  <c r="C994" i="1"/>
  <c r="J994" i="1"/>
  <c r="C995" i="1"/>
  <c r="J995" i="1"/>
  <c r="C996" i="1"/>
  <c r="J996" i="1"/>
  <c r="C997" i="1"/>
  <c r="J997" i="1"/>
  <c r="C998" i="1"/>
  <c r="J998" i="1"/>
  <c r="C999" i="1"/>
  <c r="J999" i="1"/>
  <c r="C1000" i="1"/>
  <c r="J1000" i="1"/>
  <c r="C1001" i="1"/>
  <c r="J1001" i="1"/>
  <c r="C1002" i="1"/>
  <c r="J1002" i="1"/>
  <c r="C1003" i="1"/>
  <c r="J1003" i="1"/>
  <c r="C1004" i="1"/>
  <c r="J1004" i="1"/>
  <c r="C1005" i="1"/>
  <c r="J1005" i="1"/>
  <c r="C1006" i="1"/>
  <c r="J1006" i="1"/>
  <c r="C1007" i="1"/>
  <c r="J1007" i="1"/>
  <c r="C1008" i="1"/>
  <c r="J1008" i="1"/>
  <c r="C1009" i="1"/>
  <c r="J1009" i="1"/>
  <c r="C1010" i="1"/>
  <c r="J1010" i="1"/>
  <c r="C1011" i="1"/>
  <c r="J1011" i="1"/>
  <c r="C1012" i="1"/>
  <c r="J1012" i="1"/>
  <c r="C1013" i="1"/>
  <c r="J1013" i="1"/>
  <c r="C1014" i="1"/>
  <c r="J1014" i="1"/>
  <c r="C1015" i="1"/>
  <c r="J1015" i="1"/>
  <c r="C1016" i="1"/>
  <c r="J1016" i="1"/>
  <c r="C1017" i="1"/>
  <c r="J1017" i="1"/>
  <c r="C1018" i="1"/>
  <c r="J1018" i="1"/>
  <c r="C1019" i="1"/>
  <c r="J1019" i="1"/>
  <c r="C1020" i="1"/>
  <c r="J1020" i="1"/>
  <c r="C1021" i="1"/>
  <c r="J1021" i="1"/>
  <c r="C1022" i="1"/>
  <c r="J1022" i="1"/>
  <c r="C1023" i="1"/>
  <c r="J1023" i="1"/>
  <c r="C1024" i="1"/>
  <c r="J1024" i="1"/>
  <c r="C1025" i="1"/>
  <c r="J1025" i="1"/>
  <c r="C1026" i="1"/>
  <c r="J1026" i="1"/>
  <c r="C1027" i="1"/>
  <c r="J1027" i="1"/>
  <c r="C1028" i="1"/>
  <c r="J1028" i="1"/>
  <c r="C1029" i="1"/>
  <c r="J1029" i="1"/>
  <c r="C1030" i="1"/>
  <c r="J1030" i="1"/>
  <c r="C1031" i="1"/>
  <c r="J1031" i="1"/>
  <c r="C1032" i="1"/>
  <c r="J1032" i="1"/>
  <c r="C1033" i="1"/>
  <c r="J1033" i="1"/>
  <c r="C1034" i="1"/>
  <c r="J1034" i="1"/>
  <c r="C1035" i="1"/>
  <c r="J1035" i="1"/>
  <c r="C1036" i="1"/>
  <c r="J1036" i="1"/>
  <c r="C1037" i="1"/>
  <c r="J1037" i="1"/>
  <c r="C1038" i="1"/>
  <c r="J1038" i="1"/>
  <c r="C1039" i="1"/>
  <c r="J1039" i="1"/>
  <c r="C1040" i="1"/>
  <c r="J1040" i="1"/>
  <c r="C1041" i="1"/>
  <c r="J1041" i="1"/>
  <c r="C1042" i="1"/>
  <c r="J1042" i="1"/>
  <c r="C1043" i="1"/>
  <c r="J1043" i="1"/>
  <c r="C1044" i="1"/>
  <c r="J1044" i="1"/>
  <c r="C1045" i="1"/>
  <c r="J1045" i="1"/>
  <c r="C1046" i="1"/>
  <c r="J1046" i="1"/>
  <c r="C1047" i="1"/>
  <c r="J1047" i="1"/>
  <c r="C1048" i="1"/>
  <c r="J1048" i="1"/>
  <c r="C1049" i="1"/>
  <c r="J1049" i="1"/>
  <c r="C1050" i="1"/>
  <c r="J1050" i="1"/>
  <c r="C1051" i="1"/>
  <c r="J1051" i="1"/>
  <c r="C1052" i="1"/>
  <c r="J1052" i="1"/>
  <c r="C1053" i="1"/>
  <c r="J1053" i="1"/>
  <c r="C1054" i="1"/>
  <c r="J1054" i="1"/>
  <c r="C1055" i="1"/>
  <c r="J1055" i="1"/>
  <c r="C1056" i="1"/>
  <c r="J1056" i="1"/>
  <c r="C1057" i="1"/>
  <c r="J1057" i="1"/>
  <c r="C1058" i="1"/>
  <c r="J1058" i="1"/>
  <c r="C1059" i="1"/>
  <c r="J1059" i="1"/>
  <c r="C1060" i="1"/>
  <c r="J1060" i="1"/>
  <c r="C1061" i="1"/>
  <c r="J1061" i="1"/>
  <c r="C1062" i="1"/>
  <c r="J1062" i="1"/>
  <c r="C1063" i="1"/>
  <c r="J1063" i="1"/>
  <c r="C1064" i="1"/>
  <c r="J1064" i="1"/>
  <c r="C1065" i="1"/>
  <c r="J1065" i="1"/>
  <c r="C1066" i="1"/>
  <c r="J1066" i="1"/>
  <c r="C1067" i="1"/>
  <c r="J1067" i="1"/>
  <c r="C1068" i="1"/>
  <c r="J1068" i="1"/>
  <c r="C1069" i="1"/>
  <c r="J1069" i="1"/>
  <c r="C1070" i="1"/>
  <c r="J1070" i="1"/>
  <c r="C1071" i="1"/>
  <c r="J1071" i="1"/>
  <c r="C1072" i="1"/>
  <c r="J1072" i="1"/>
  <c r="C1073" i="1"/>
  <c r="J1073" i="1"/>
  <c r="C1074" i="1"/>
  <c r="J1074" i="1"/>
  <c r="C1075" i="1"/>
  <c r="J1075" i="1"/>
  <c r="C1076" i="1"/>
  <c r="J1076" i="1"/>
  <c r="C1077" i="1"/>
  <c r="J1077" i="1"/>
  <c r="C1078" i="1"/>
  <c r="J1078" i="1"/>
  <c r="C1079" i="1"/>
  <c r="J1079" i="1"/>
  <c r="C1080" i="1"/>
  <c r="J1080" i="1"/>
  <c r="C1081" i="1"/>
  <c r="J1081" i="1"/>
  <c r="C1082" i="1"/>
  <c r="J1082" i="1"/>
  <c r="C1083" i="1"/>
  <c r="J1083" i="1"/>
  <c r="C1084" i="1"/>
  <c r="J1084" i="1"/>
  <c r="C1085" i="1"/>
  <c r="J1085" i="1"/>
  <c r="C1086" i="1"/>
  <c r="J1086" i="1"/>
  <c r="C1087" i="1"/>
  <c r="J1087" i="1"/>
  <c r="C1088" i="1"/>
  <c r="J1088" i="1"/>
  <c r="C1089" i="1"/>
  <c r="J1089" i="1"/>
  <c r="C1090" i="1"/>
  <c r="J1090" i="1"/>
  <c r="C1091" i="1"/>
  <c r="J1091" i="1"/>
  <c r="C1092" i="1"/>
  <c r="J1092" i="1"/>
  <c r="C1093" i="1"/>
  <c r="J1093" i="1"/>
  <c r="C1094" i="1"/>
  <c r="J1094" i="1"/>
  <c r="C1095" i="1"/>
  <c r="J1095" i="1"/>
  <c r="C1096" i="1"/>
  <c r="J1096" i="1"/>
  <c r="C1097" i="1"/>
  <c r="J1097" i="1"/>
  <c r="C1098" i="1"/>
  <c r="J1098" i="1"/>
  <c r="C1099" i="1"/>
  <c r="J1099" i="1"/>
  <c r="C1100" i="1"/>
  <c r="J1100" i="1"/>
  <c r="C1101" i="1"/>
  <c r="J1101" i="1"/>
  <c r="C1102" i="1"/>
  <c r="J1102" i="1"/>
  <c r="C1103" i="1"/>
  <c r="J1103" i="1"/>
  <c r="C1104" i="1"/>
  <c r="J1104" i="1"/>
  <c r="C1105" i="1"/>
  <c r="J1105" i="1"/>
  <c r="C1106" i="1"/>
  <c r="J1106" i="1"/>
  <c r="C1107" i="1"/>
  <c r="J1107" i="1"/>
  <c r="C1108" i="1"/>
  <c r="J1108" i="1"/>
  <c r="C1109" i="1"/>
  <c r="J1109" i="1"/>
  <c r="C1110" i="1"/>
  <c r="J1110" i="1"/>
  <c r="C1111" i="1"/>
  <c r="J1111" i="1"/>
  <c r="C1112" i="1"/>
  <c r="J1112" i="1"/>
  <c r="C1113" i="1"/>
  <c r="J1113" i="1"/>
  <c r="C1114" i="1"/>
  <c r="J1114" i="1"/>
  <c r="C1115" i="1"/>
  <c r="J1115" i="1"/>
  <c r="C1116" i="1"/>
  <c r="J1116" i="1"/>
  <c r="C1117" i="1"/>
  <c r="J1117" i="1"/>
  <c r="C1118" i="1"/>
  <c r="J1118" i="1"/>
  <c r="C1119" i="1"/>
  <c r="J1119" i="1"/>
  <c r="C1120" i="1"/>
  <c r="J1120" i="1"/>
  <c r="C1121" i="1"/>
  <c r="J1121" i="1"/>
  <c r="C1122" i="1"/>
  <c r="J1122" i="1"/>
  <c r="C1123" i="1"/>
  <c r="J1123" i="1"/>
  <c r="C1124" i="1"/>
  <c r="J1124" i="1"/>
  <c r="C1125" i="1"/>
  <c r="J1125" i="1"/>
  <c r="C1126" i="1"/>
  <c r="J1126" i="1"/>
  <c r="C1127" i="1"/>
  <c r="J1127" i="1"/>
  <c r="C1128" i="1"/>
  <c r="J1128" i="1"/>
  <c r="C1129" i="1"/>
  <c r="J1129" i="1"/>
  <c r="C1130" i="1"/>
  <c r="J1130" i="1"/>
  <c r="C1131" i="1"/>
  <c r="J1131" i="1"/>
  <c r="C1132" i="1"/>
  <c r="J1132" i="1"/>
  <c r="C1133" i="1"/>
  <c r="J1133" i="1"/>
  <c r="C1134" i="1"/>
  <c r="J1134" i="1"/>
  <c r="C1135" i="1"/>
  <c r="J1135" i="1"/>
  <c r="C1136" i="1"/>
  <c r="J1136" i="1"/>
  <c r="C1137" i="1"/>
  <c r="J1137" i="1"/>
  <c r="C1138" i="1"/>
  <c r="J1138" i="1"/>
  <c r="C1139" i="1"/>
  <c r="J1139" i="1"/>
  <c r="C1140" i="1"/>
  <c r="J1140" i="1"/>
  <c r="C1141" i="1"/>
  <c r="J1141" i="1"/>
  <c r="C1142" i="1"/>
  <c r="J1142" i="1"/>
  <c r="C1143" i="1"/>
  <c r="J1143" i="1"/>
  <c r="C1144" i="1"/>
  <c r="J1144" i="1"/>
  <c r="C1145" i="1"/>
  <c r="J1145" i="1"/>
  <c r="C1146" i="1"/>
  <c r="J1146" i="1"/>
  <c r="C1147" i="1"/>
  <c r="J1147" i="1"/>
  <c r="C1148" i="1"/>
  <c r="J1148" i="1"/>
  <c r="C1149" i="1"/>
  <c r="J1149" i="1"/>
  <c r="C1150" i="1"/>
  <c r="J1150" i="1"/>
  <c r="C1151" i="1"/>
  <c r="J1151" i="1"/>
  <c r="C1152" i="1"/>
  <c r="J1152" i="1"/>
  <c r="C1153" i="1"/>
  <c r="J1153" i="1"/>
  <c r="C1154" i="1"/>
  <c r="J1154" i="1"/>
  <c r="C1155" i="1"/>
  <c r="J1155" i="1"/>
  <c r="C1156" i="1"/>
  <c r="J1156" i="1"/>
  <c r="C1157" i="1"/>
  <c r="J1157" i="1"/>
  <c r="C1158" i="1"/>
  <c r="J1158" i="1"/>
  <c r="C1159" i="1"/>
  <c r="J1159" i="1"/>
  <c r="C1160" i="1"/>
  <c r="J1160" i="1"/>
  <c r="C1161" i="1"/>
  <c r="J1161" i="1"/>
  <c r="C1162" i="1"/>
  <c r="J1162" i="1"/>
  <c r="C1163" i="1"/>
  <c r="J1163" i="1"/>
  <c r="C1164" i="1"/>
  <c r="J1164" i="1"/>
  <c r="C1165" i="1"/>
  <c r="J1165" i="1"/>
  <c r="C1166" i="1"/>
  <c r="J1166" i="1"/>
  <c r="C1167" i="1"/>
  <c r="J1167" i="1"/>
  <c r="C1168" i="1"/>
  <c r="J1168" i="1"/>
  <c r="C1169" i="1"/>
  <c r="J1169" i="1"/>
  <c r="C1170" i="1"/>
  <c r="J1170" i="1"/>
  <c r="C1171" i="1"/>
  <c r="J1171" i="1"/>
  <c r="C1172" i="1"/>
  <c r="J1172" i="1"/>
  <c r="C1173" i="1"/>
  <c r="J1173" i="1"/>
  <c r="C1174" i="1"/>
  <c r="J1174" i="1"/>
  <c r="C1175" i="1"/>
  <c r="J1175" i="1"/>
  <c r="C1176" i="1"/>
  <c r="J1176" i="1"/>
  <c r="C1177" i="1"/>
  <c r="J1177" i="1"/>
  <c r="C1178" i="1"/>
  <c r="J1178" i="1"/>
  <c r="C1179" i="1"/>
  <c r="J1179" i="1"/>
  <c r="C1180" i="1"/>
  <c r="J1180" i="1"/>
  <c r="C1181" i="1"/>
  <c r="J1181" i="1"/>
  <c r="C1182" i="1"/>
  <c r="J1182" i="1"/>
  <c r="C1183" i="1"/>
  <c r="J1183" i="1"/>
  <c r="C1184" i="1"/>
  <c r="J1184" i="1"/>
  <c r="C1185" i="1"/>
  <c r="J1185" i="1"/>
  <c r="C1186" i="1"/>
  <c r="J1186" i="1"/>
  <c r="C1187" i="1"/>
  <c r="J1187" i="1"/>
  <c r="C1188" i="1"/>
  <c r="J1188" i="1"/>
  <c r="C1189" i="1"/>
  <c r="J1189" i="1"/>
  <c r="C1190" i="1"/>
  <c r="J1190" i="1"/>
  <c r="C1191" i="1"/>
  <c r="J1191" i="1"/>
  <c r="C1192" i="1"/>
  <c r="J1192" i="1"/>
  <c r="C1193" i="1"/>
  <c r="J1193" i="1"/>
  <c r="C1194" i="1"/>
  <c r="J1194" i="1"/>
  <c r="C1195" i="1"/>
  <c r="J1195" i="1"/>
  <c r="C1196" i="1"/>
  <c r="J1196" i="1"/>
  <c r="C1197" i="1"/>
  <c r="J1197" i="1"/>
  <c r="C1198" i="1"/>
  <c r="J1198" i="1"/>
  <c r="C1199" i="1"/>
  <c r="J1199" i="1"/>
  <c r="C1200" i="1"/>
  <c r="J1200" i="1"/>
  <c r="C1201" i="1"/>
  <c r="J1201" i="1"/>
  <c r="C1202" i="1"/>
  <c r="J1202" i="1"/>
  <c r="C1203" i="1"/>
  <c r="J1203" i="1"/>
  <c r="C1204" i="1"/>
  <c r="J1204" i="1"/>
  <c r="C1205" i="1"/>
  <c r="J1205" i="1"/>
  <c r="C1206" i="1"/>
  <c r="J1206" i="1"/>
  <c r="C1207" i="1"/>
  <c r="J1207" i="1"/>
  <c r="C1208" i="1"/>
  <c r="J1208" i="1"/>
  <c r="C1209" i="1"/>
  <c r="J1209" i="1"/>
  <c r="C1210" i="1"/>
  <c r="J1210" i="1"/>
  <c r="C1211" i="1"/>
  <c r="J1211" i="1"/>
  <c r="C1212" i="1"/>
  <c r="J1212" i="1"/>
  <c r="C1213" i="1"/>
  <c r="J1213" i="1"/>
  <c r="C1214" i="1"/>
  <c r="J1214" i="1"/>
  <c r="C1215" i="1"/>
  <c r="J1215" i="1"/>
  <c r="C1216" i="1"/>
  <c r="J1216" i="1"/>
  <c r="C1217" i="1"/>
  <c r="J1217" i="1"/>
  <c r="C1218" i="1"/>
  <c r="J1218" i="1"/>
  <c r="C1219" i="1"/>
  <c r="J1219" i="1"/>
  <c r="C1220" i="1"/>
  <c r="J1220" i="1"/>
  <c r="C1221" i="1"/>
  <c r="J1221" i="1"/>
  <c r="C1222" i="1"/>
  <c r="J1222" i="1"/>
  <c r="C1223" i="1"/>
  <c r="J1223" i="1"/>
  <c r="C1224" i="1"/>
  <c r="J1224" i="1"/>
  <c r="C1225" i="1"/>
  <c r="J1225" i="1"/>
  <c r="C1226" i="1"/>
  <c r="J1226" i="1"/>
  <c r="C1227" i="1"/>
  <c r="J1227" i="1"/>
  <c r="C1228" i="1"/>
  <c r="J1228" i="1"/>
  <c r="C1229" i="1"/>
  <c r="J1229" i="1"/>
  <c r="C1230" i="1"/>
  <c r="J1230" i="1"/>
  <c r="C1231" i="1"/>
  <c r="J1231" i="1"/>
  <c r="C1232" i="1"/>
  <c r="J1232" i="1"/>
  <c r="C1233" i="1"/>
  <c r="J1233" i="1"/>
  <c r="C1234" i="1"/>
  <c r="J1234" i="1"/>
  <c r="C1235" i="1"/>
  <c r="J1235" i="1"/>
  <c r="C1236" i="1"/>
  <c r="J1236" i="1"/>
  <c r="C1237" i="1"/>
  <c r="J1237" i="1"/>
  <c r="C1238" i="1"/>
  <c r="J1238" i="1"/>
  <c r="C1239" i="1"/>
  <c r="J1239" i="1"/>
  <c r="C1240" i="1"/>
  <c r="J1240" i="1"/>
  <c r="C1241" i="1"/>
  <c r="J1241" i="1"/>
  <c r="C1242" i="1"/>
  <c r="J1242" i="1"/>
  <c r="C1243" i="1"/>
  <c r="J1243" i="1"/>
  <c r="C1244" i="1"/>
  <c r="J1244" i="1"/>
  <c r="C1245" i="1"/>
  <c r="J1245" i="1"/>
  <c r="C1246" i="1"/>
  <c r="J1246" i="1"/>
  <c r="C1247" i="1"/>
  <c r="J1247" i="1"/>
  <c r="C1248" i="1"/>
  <c r="J1248" i="1"/>
  <c r="C1249" i="1"/>
  <c r="J1249" i="1"/>
  <c r="C1250" i="1"/>
  <c r="J1250" i="1"/>
  <c r="C1251" i="1"/>
  <c r="J1251" i="1"/>
  <c r="C1252" i="1"/>
  <c r="J1252" i="1"/>
  <c r="C1253" i="1"/>
  <c r="J1253" i="1"/>
  <c r="C1254" i="1"/>
  <c r="J1254" i="1"/>
  <c r="C1255" i="1"/>
  <c r="J1255" i="1"/>
  <c r="C1256" i="1"/>
  <c r="J1256" i="1"/>
  <c r="C1257" i="1"/>
  <c r="J1257" i="1"/>
  <c r="C1258" i="1"/>
  <c r="J1258" i="1"/>
  <c r="C1259" i="1"/>
  <c r="J1259" i="1"/>
  <c r="C1260" i="1"/>
  <c r="J1260" i="1"/>
  <c r="C1261" i="1"/>
  <c r="J1261" i="1"/>
  <c r="C1262" i="1"/>
  <c r="J1262" i="1"/>
  <c r="C1263" i="1"/>
  <c r="J1263" i="1"/>
  <c r="C1264" i="1"/>
  <c r="J1264" i="1"/>
  <c r="C1265" i="1"/>
  <c r="J1265" i="1"/>
  <c r="C1266" i="1"/>
  <c r="J1266" i="1"/>
  <c r="C1267" i="1"/>
  <c r="J1267" i="1"/>
  <c r="C1268" i="1"/>
  <c r="J1268" i="1"/>
  <c r="C1269" i="1"/>
  <c r="J1269" i="1"/>
  <c r="C1270" i="1"/>
  <c r="J1270" i="1"/>
  <c r="C1271" i="1"/>
  <c r="J1271" i="1"/>
  <c r="C1272" i="1"/>
  <c r="J1272" i="1"/>
  <c r="C1273" i="1"/>
  <c r="J1273" i="1"/>
  <c r="C1274" i="1"/>
  <c r="J1274" i="1"/>
  <c r="C1275" i="1"/>
  <c r="J1275" i="1"/>
  <c r="C1276" i="1"/>
  <c r="J1276" i="1"/>
  <c r="C1277" i="1"/>
  <c r="J1277" i="1"/>
  <c r="C1278" i="1"/>
  <c r="J1278" i="1"/>
  <c r="C1279" i="1"/>
  <c r="J1279" i="1"/>
  <c r="C1280" i="1"/>
  <c r="J1280" i="1"/>
  <c r="C1281" i="1"/>
  <c r="J1281" i="1"/>
  <c r="C1282" i="1"/>
  <c r="J1282" i="1"/>
  <c r="C1283" i="1"/>
  <c r="J1283" i="1"/>
  <c r="C1284" i="1"/>
  <c r="J1284" i="1"/>
  <c r="C1285" i="1"/>
  <c r="J1285" i="1"/>
  <c r="C1286" i="1"/>
  <c r="J1286" i="1"/>
  <c r="C1287" i="1"/>
  <c r="J1287" i="1"/>
  <c r="C1288" i="1"/>
  <c r="J1288" i="1"/>
  <c r="C1289" i="1"/>
  <c r="J1289" i="1"/>
  <c r="C1290" i="1"/>
  <c r="J1290" i="1"/>
  <c r="C1291" i="1"/>
  <c r="J1291" i="1"/>
  <c r="C1292" i="1"/>
  <c r="J1292" i="1"/>
  <c r="C1293" i="1"/>
  <c r="J1293" i="1"/>
  <c r="C1294" i="1"/>
  <c r="J1294" i="1"/>
  <c r="C1295" i="1"/>
  <c r="J1295" i="1"/>
  <c r="C1296" i="1"/>
  <c r="J1296" i="1"/>
  <c r="C1297" i="1"/>
  <c r="J1297" i="1"/>
  <c r="C1298" i="1"/>
  <c r="J1298" i="1"/>
  <c r="C1299" i="1"/>
  <c r="J1299" i="1"/>
  <c r="C1300" i="1"/>
  <c r="J1300" i="1"/>
  <c r="C1301" i="1"/>
  <c r="J1301" i="1"/>
  <c r="C1302" i="1"/>
  <c r="J1302" i="1"/>
  <c r="C1303" i="1"/>
  <c r="J1303" i="1"/>
  <c r="C1304" i="1"/>
  <c r="J1304" i="1"/>
  <c r="C1305" i="1"/>
  <c r="J1305" i="1"/>
  <c r="C1306" i="1"/>
  <c r="J1306" i="1"/>
  <c r="C1307" i="1"/>
  <c r="J1307" i="1"/>
  <c r="C1308" i="1"/>
  <c r="J1308" i="1"/>
  <c r="C1309" i="1"/>
  <c r="J1309" i="1"/>
  <c r="C1310" i="1"/>
  <c r="J1310" i="1"/>
  <c r="C1311" i="1"/>
  <c r="J1311" i="1"/>
  <c r="C1312" i="1"/>
  <c r="J1312" i="1"/>
  <c r="C1313" i="1"/>
  <c r="J1313" i="1"/>
  <c r="C1314" i="1"/>
  <c r="J1314" i="1"/>
  <c r="C1315" i="1"/>
  <c r="J1315" i="1"/>
  <c r="C1316" i="1"/>
  <c r="J1316" i="1"/>
  <c r="C1317" i="1"/>
  <c r="J1317" i="1"/>
  <c r="C1318" i="1"/>
  <c r="J1318" i="1"/>
  <c r="C1319" i="1"/>
  <c r="J1319" i="1"/>
  <c r="C1320" i="1"/>
  <c r="J1320" i="1"/>
  <c r="C1321" i="1"/>
  <c r="J1321" i="1"/>
  <c r="C1322" i="1"/>
  <c r="J1322" i="1"/>
  <c r="C1323" i="1"/>
  <c r="J1323" i="1"/>
  <c r="C1324" i="1"/>
  <c r="J1324" i="1"/>
  <c r="C1325" i="1"/>
  <c r="J1325" i="1"/>
  <c r="C1326" i="1"/>
  <c r="J1326" i="1"/>
  <c r="C1327" i="1"/>
  <c r="J1327" i="1"/>
  <c r="C1328" i="1"/>
  <c r="J1328" i="1"/>
  <c r="C1329" i="1"/>
  <c r="J1329" i="1"/>
  <c r="C1330" i="1"/>
  <c r="J1330" i="1"/>
  <c r="C1331" i="1"/>
  <c r="J1331" i="1"/>
  <c r="C1332" i="1"/>
  <c r="J1332" i="1"/>
  <c r="C1333" i="1"/>
  <c r="J1333" i="1"/>
  <c r="C1334" i="1"/>
  <c r="J1334" i="1"/>
  <c r="C1335" i="1"/>
  <c r="J1335" i="1"/>
  <c r="C1336" i="1"/>
  <c r="J1336" i="1"/>
  <c r="C1337" i="1"/>
  <c r="J1337" i="1"/>
  <c r="C1338" i="1"/>
  <c r="J1338" i="1"/>
  <c r="C1339" i="1"/>
  <c r="J1339" i="1"/>
  <c r="C1340" i="1"/>
  <c r="J1340" i="1"/>
  <c r="C1341" i="1"/>
  <c r="J1341" i="1"/>
  <c r="C1342" i="1"/>
  <c r="J1342" i="1"/>
  <c r="C1343" i="1"/>
  <c r="J1343" i="1"/>
  <c r="C1344" i="1"/>
  <c r="J1344" i="1"/>
  <c r="C1345" i="1"/>
  <c r="J1345" i="1"/>
  <c r="C1346" i="1"/>
  <c r="J1346" i="1"/>
  <c r="C1347" i="1"/>
  <c r="J1347" i="1"/>
  <c r="C1348" i="1"/>
  <c r="J1348" i="1"/>
  <c r="C1349" i="1"/>
  <c r="J1349" i="1"/>
  <c r="C1350" i="1"/>
  <c r="J1350" i="1"/>
  <c r="C1351" i="1"/>
  <c r="J1351" i="1"/>
  <c r="C1352" i="1"/>
  <c r="J1352" i="1"/>
  <c r="C1353" i="1"/>
  <c r="J1353" i="1"/>
  <c r="C1354" i="1"/>
  <c r="J1354" i="1"/>
  <c r="C1355" i="1"/>
  <c r="J1355" i="1"/>
  <c r="C1356" i="1"/>
  <c r="J1356" i="1"/>
  <c r="C1357" i="1"/>
  <c r="J1357" i="1"/>
  <c r="C1358" i="1"/>
  <c r="J1358" i="1"/>
  <c r="C1359" i="1"/>
  <c r="J1359" i="1"/>
  <c r="C1360" i="1"/>
  <c r="J1360" i="1"/>
  <c r="C1361" i="1"/>
  <c r="J1361" i="1"/>
  <c r="C1362" i="1"/>
  <c r="J1362" i="1"/>
  <c r="C1363" i="1"/>
  <c r="J1363" i="1"/>
  <c r="C1364" i="1"/>
  <c r="J1364" i="1"/>
  <c r="C1365" i="1"/>
  <c r="J1365" i="1"/>
  <c r="C1366" i="1"/>
  <c r="J1366" i="1"/>
  <c r="C1367" i="1"/>
  <c r="J1367" i="1"/>
  <c r="C1368" i="1"/>
  <c r="J1368" i="1"/>
  <c r="C1369" i="1"/>
  <c r="J1369" i="1"/>
  <c r="C1370" i="1"/>
  <c r="J1370" i="1"/>
  <c r="C1371" i="1"/>
  <c r="J1371" i="1"/>
  <c r="C1372" i="1"/>
  <c r="J1372" i="1"/>
  <c r="C1373" i="1"/>
  <c r="J1373" i="1"/>
  <c r="C1374" i="1"/>
  <c r="J1374" i="1"/>
  <c r="C1375" i="1"/>
  <c r="J1375" i="1"/>
  <c r="C1376" i="1"/>
  <c r="J1376" i="1"/>
  <c r="C1377" i="1"/>
  <c r="J1377" i="1"/>
  <c r="C1378" i="1"/>
  <c r="J1378" i="1"/>
  <c r="C1379" i="1"/>
  <c r="J1379" i="1"/>
  <c r="C1380" i="1"/>
  <c r="J1380" i="1"/>
  <c r="C1381" i="1"/>
  <c r="J1381" i="1"/>
  <c r="C1382" i="1"/>
  <c r="J1382" i="1"/>
  <c r="C1383" i="1"/>
  <c r="J1383" i="1"/>
  <c r="C1384" i="1"/>
  <c r="J1384" i="1"/>
  <c r="C1385" i="1"/>
  <c r="J1385" i="1"/>
  <c r="C1386" i="1"/>
  <c r="J1386" i="1"/>
  <c r="C1387" i="1"/>
  <c r="J1387" i="1"/>
  <c r="C1388" i="1"/>
  <c r="J1388" i="1"/>
  <c r="C1389" i="1"/>
  <c r="J1389" i="1"/>
  <c r="C1390" i="1"/>
  <c r="J1390" i="1"/>
  <c r="C1391" i="1"/>
  <c r="J1391" i="1"/>
  <c r="C1392" i="1"/>
  <c r="J1392" i="1"/>
  <c r="C1393" i="1"/>
  <c r="J1393" i="1"/>
  <c r="C1394" i="1"/>
  <c r="J1394" i="1"/>
  <c r="C1395" i="1"/>
  <c r="J1395" i="1"/>
  <c r="C1396" i="1"/>
  <c r="J1396" i="1"/>
  <c r="C1397" i="1"/>
  <c r="J1397" i="1"/>
  <c r="C1398" i="1"/>
  <c r="J1398" i="1"/>
  <c r="C1399" i="1"/>
  <c r="J1399" i="1"/>
  <c r="C1400" i="1"/>
  <c r="J1400" i="1"/>
  <c r="C1401" i="1"/>
  <c r="J1401" i="1"/>
  <c r="C1402" i="1"/>
  <c r="J1402" i="1"/>
  <c r="C1403" i="1"/>
  <c r="J1403" i="1"/>
  <c r="C1404" i="1"/>
  <c r="J1404" i="1"/>
  <c r="C1405" i="1"/>
  <c r="J1405" i="1"/>
  <c r="C1406" i="1"/>
  <c r="J1406" i="1"/>
  <c r="C1407" i="1"/>
  <c r="J1407" i="1"/>
  <c r="C1408" i="1"/>
  <c r="J1408" i="1"/>
  <c r="C1409" i="1"/>
  <c r="J1409" i="1"/>
  <c r="C1410" i="1"/>
  <c r="J1410" i="1"/>
  <c r="C1411" i="1"/>
  <c r="J1411" i="1"/>
  <c r="C1412" i="1"/>
  <c r="J1412" i="1"/>
  <c r="C1413" i="1"/>
  <c r="J1413" i="1"/>
  <c r="C1414" i="1"/>
  <c r="J1414" i="1"/>
  <c r="C1415" i="1"/>
  <c r="J1415" i="1"/>
  <c r="C1416" i="1"/>
  <c r="J1416" i="1"/>
  <c r="C1417" i="1"/>
  <c r="J1417" i="1"/>
  <c r="C1418" i="1"/>
  <c r="J1418" i="1"/>
  <c r="C1419" i="1"/>
  <c r="J1419" i="1"/>
  <c r="C1420" i="1"/>
  <c r="J1420" i="1"/>
  <c r="C1421" i="1"/>
  <c r="J1421" i="1"/>
  <c r="C1422" i="1"/>
  <c r="J1422" i="1"/>
  <c r="C1423" i="1"/>
  <c r="J1423" i="1"/>
  <c r="C1424" i="1"/>
  <c r="J1424" i="1"/>
  <c r="C1425" i="1"/>
  <c r="J1425" i="1"/>
  <c r="C1426" i="1"/>
  <c r="J1426" i="1"/>
  <c r="C1427" i="1"/>
  <c r="J1427" i="1"/>
  <c r="C1428" i="1"/>
  <c r="J1428" i="1"/>
  <c r="C1429" i="1"/>
  <c r="J1429" i="1"/>
  <c r="C1430" i="1"/>
  <c r="J1430" i="1"/>
  <c r="C1431" i="1"/>
  <c r="J1431" i="1"/>
  <c r="C1432" i="1"/>
  <c r="J1432" i="1"/>
  <c r="C1433" i="1"/>
  <c r="J1433" i="1"/>
  <c r="C1434" i="1"/>
  <c r="J1434" i="1"/>
  <c r="C1435" i="1"/>
  <c r="J1435" i="1"/>
  <c r="C1436" i="1"/>
  <c r="J1436" i="1"/>
  <c r="C1437" i="1"/>
  <c r="J1437" i="1"/>
  <c r="C1438" i="1"/>
  <c r="J1438" i="1"/>
  <c r="C1439" i="1"/>
  <c r="J1439" i="1"/>
  <c r="C1440" i="1"/>
  <c r="J1440" i="1"/>
  <c r="C1441" i="1"/>
  <c r="J1441" i="1"/>
  <c r="C1442" i="1"/>
  <c r="J1442" i="1"/>
  <c r="C1443" i="1"/>
  <c r="J1443" i="1"/>
  <c r="C1444" i="1"/>
  <c r="J1444" i="1"/>
  <c r="C1445" i="1"/>
  <c r="J1445" i="1"/>
  <c r="C1446" i="1"/>
  <c r="J1446" i="1"/>
  <c r="C1447" i="1"/>
  <c r="J1447" i="1"/>
  <c r="C1448" i="1"/>
  <c r="J1448" i="1"/>
  <c r="C1449" i="1"/>
  <c r="J1449" i="1"/>
  <c r="C1450" i="1"/>
  <c r="J1450" i="1"/>
  <c r="C1451" i="1"/>
  <c r="J1451" i="1"/>
  <c r="C1452" i="1"/>
  <c r="J1452" i="1"/>
  <c r="C1453" i="1"/>
  <c r="J1453" i="1"/>
  <c r="C1454" i="1"/>
  <c r="J1454" i="1"/>
  <c r="C1455" i="1"/>
  <c r="J1455" i="1"/>
  <c r="C1456" i="1"/>
  <c r="J1456" i="1"/>
  <c r="C1457" i="1"/>
  <c r="J1457" i="1"/>
  <c r="C1458" i="1"/>
  <c r="J1458" i="1"/>
  <c r="C1459" i="1"/>
  <c r="J1459" i="1"/>
  <c r="C1460" i="1"/>
  <c r="J1460" i="1"/>
  <c r="C1461" i="1"/>
  <c r="J1461" i="1"/>
  <c r="C1462" i="1"/>
  <c r="J1462" i="1"/>
  <c r="C1463" i="1"/>
  <c r="J1463" i="1"/>
  <c r="C1464" i="1"/>
  <c r="J1464" i="1"/>
  <c r="C1465" i="1"/>
  <c r="J1465" i="1"/>
  <c r="C1466" i="1"/>
  <c r="J1466" i="1"/>
  <c r="C1467" i="1"/>
  <c r="J1467" i="1"/>
  <c r="C1468" i="1"/>
  <c r="J1468" i="1"/>
  <c r="C1469" i="1"/>
  <c r="J1469" i="1"/>
  <c r="C1470" i="1"/>
  <c r="J1470" i="1"/>
  <c r="C1471" i="1"/>
  <c r="J1471" i="1"/>
  <c r="C1472" i="1"/>
  <c r="J1472" i="1"/>
  <c r="C1473" i="1"/>
  <c r="J1473" i="1"/>
  <c r="C1474" i="1"/>
  <c r="J1474" i="1"/>
  <c r="C1475" i="1"/>
  <c r="J1475" i="1"/>
  <c r="C1476" i="1"/>
  <c r="J1476" i="1"/>
  <c r="C1477" i="1"/>
  <c r="J1477" i="1"/>
  <c r="C1478" i="1"/>
  <c r="J1478" i="1"/>
  <c r="C1479" i="1"/>
  <c r="J1479" i="1"/>
  <c r="C1480" i="1"/>
  <c r="J1480" i="1"/>
  <c r="C1481" i="1"/>
  <c r="J1481" i="1"/>
  <c r="C1482" i="1"/>
  <c r="J1482" i="1"/>
  <c r="C1483" i="1"/>
  <c r="J1483" i="1"/>
  <c r="C1484" i="1"/>
  <c r="J1484" i="1"/>
  <c r="C1485" i="1"/>
  <c r="J1485" i="1"/>
  <c r="C1486" i="1"/>
  <c r="J1486" i="1"/>
  <c r="C1487" i="1"/>
  <c r="J1487" i="1"/>
  <c r="C1488" i="1"/>
  <c r="J1488" i="1"/>
  <c r="C1489" i="1"/>
  <c r="J1489" i="1"/>
  <c r="C1490" i="1"/>
  <c r="J1490" i="1"/>
  <c r="C1491" i="1"/>
  <c r="J1491" i="1"/>
  <c r="C1492" i="1"/>
  <c r="J1492" i="1"/>
  <c r="C1493" i="1"/>
  <c r="J1493" i="1"/>
  <c r="C1494" i="1"/>
  <c r="J1494" i="1"/>
  <c r="C1495" i="1"/>
  <c r="J1495" i="1"/>
  <c r="C1496" i="1"/>
  <c r="J1496" i="1"/>
  <c r="C1497" i="1"/>
  <c r="J1497" i="1"/>
  <c r="C1498" i="1"/>
  <c r="J1498" i="1"/>
  <c r="C1499" i="1"/>
  <c r="J1499" i="1"/>
  <c r="C1500" i="1"/>
  <c r="J1500" i="1"/>
  <c r="C1501" i="1"/>
  <c r="J1501" i="1"/>
  <c r="C1502" i="1"/>
  <c r="J1502" i="1"/>
  <c r="C1503" i="1"/>
  <c r="J1503" i="1"/>
  <c r="C1504" i="1"/>
  <c r="J1504" i="1"/>
  <c r="C1505" i="1"/>
  <c r="J1505" i="1"/>
  <c r="C1506" i="1"/>
  <c r="J1506" i="1"/>
  <c r="C1507" i="1"/>
  <c r="J1507" i="1"/>
  <c r="C1508" i="1"/>
  <c r="J1508" i="1"/>
  <c r="C1509" i="1"/>
  <c r="J1509" i="1"/>
  <c r="C1510" i="1"/>
  <c r="J1510" i="1"/>
  <c r="C1511" i="1"/>
  <c r="J1511" i="1"/>
  <c r="C1512" i="1"/>
  <c r="J1512" i="1"/>
  <c r="C1513" i="1"/>
  <c r="J1513" i="1"/>
  <c r="C1514" i="1"/>
  <c r="J1514" i="1"/>
  <c r="C1515" i="1"/>
  <c r="J1515" i="1"/>
  <c r="C1516" i="1"/>
  <c r="J1516" i="1"/>
  <c r="C1517" i="1"/>
  <c r="J1517" i="1"/>
  <c r="C1518" i="1"/>
  <c r="J1518" i="1"/>
  <c r="C1519" i="1"/>
  <c r="J1519" i="1"/>
  <c r="C1520" i="1"/>
  <c r="J1520" i="1"/>
  <c r="C1521" i="1"/>
  <c r="J1521" i="1"/>
  <c r="C1522" i="1"/>
  <c r="J1522" i="1"/>
  <c r="C1523" i="1"/>
  <c r="J1523" i="1"/>
  <c r="C1524" i="1"/>
  <c r="J1524" i="1"/>
  <c r="C1525" i="1"/>
  <c r="J1525" i="1"/>
  <c r="C1526" i="1"/>
  <c r="J1526" i="1"/>
  <c r="C1527" i="1"/>
  <c r="J1527" i="1"/>
  <c r="C1528" i="1"/>
  <c r="J1528" i="1"/>
  <c r="C1529" i="1"/>
  <c r="J1529" i="1"/>
  <c r="C1530" i="1"/>
  <c r="J1530" i="1"/>
  <c r="C1531" i="1"/>
  <c r="J1531" i="1"/>
  <c r="C1532" i="1"/>
  <c r="J1532" i="1"/>
  <c r="C1533" i="1"/>
  <c r="J1533" i="1"/>
  <c r="C1534" i="1"/>
  <c r="J1534" i="1"/>
  <c r="C1535" i="1"/>
  <c r="J1535" i="1"/>
  <c r="C1536" i="1"/>
  <c r="J1536" i="1"/>
  <c r="C1537" i="1"/>
  <c r="J1537" i="1"/>
  <c r="C1538" i="1"/>
  <c r="J1538" i="1"/>
  <c r="C1539" i="1"/>
  <c r="J1539" i="1"/>
  <c r="C1540" i="1"/>
  <c r="J1540" i="1"/>
  <c r="C1541" i="1"/>
  <c r="J1541" i="1"/>
  <c r="C1542" i="1"/>
  <c r="J1542" i="1"/>
  <c r="C1543" i="1"/>
  <c r="J1543" i="1"/>
  <c r="C1544" i="1"/>
  <c r="J1544" i="1"/>
  <c r="C1545" i="1"/>
  <c r="J1545" i="1"/>
  <c r="C1546" i="1"/>
  <c r="J1546" i="1"/>
  <c r="C1547" i="1"/>
  <c r="J1547" i="1"/>
  <c r="C1548" i="1"/>
  <c r="J1548" i="1"/>
  <c r="C1549" i="1"/>
  <c r="J1549" i="1"/>
  <c r="C1550" i="1"/>
  <c r="J1550" i="1"/>
  <c r="C1551" i="1"/>
  <c r="J1551" i="1"/>
  <c r="C1552" i="1"/>
  <c r="J1552" i="1"/>
  <c r="C1553" i="1"/>
  <c r="J1553" i="1"/>
  <c r="C1554" i="1"/>
  <c r="J1554" i="1"/>
  <c r="C1555" i="1"/>
  <c r="J1555" i="1"/>
  <c r="C1556" i="1"/>
  <c r="J1556" i="1"/>
  <c r="C1557" i="1"/>
  <c r="J1557" i="1"/>
  <c r="C1558" i="1"/>
  <c r="J1558" i="1"/>
  <c r="C1559" i="1"/>
  <c r="J1559" i="1"/>
  <c r="C1560" i="1"/>
  <c r="J1560" i="1"/>
  <c r="C1561" i="1"/>
  <c r="J1561" i="1"/>
  <c r="C1562" i="1"/>
  <c r="J1562" i="1"/>
  <c r="C1563" i="1"/>
  <c r="J1563" i="1"/>
  <c r="C1564" i="1"/>
  <c r="J1564" i="1"/>
  <c r="C1565" i="1"/>
  <c r="J1565" i="1"/>
  <c r="C1566" i="1"/>
  <c r="J1566" i="1"/>
  <c r="C1567" i="1"/>
  <c r="J1567" i="1"/>
  <c r="C1568" i="1"/>
  <c r="J1568" i="1"/>
  <c r="C1569" i="1"/>
  <c r="J1569" i="1"/>
  <c r="C1570" i="1"/>
  <c r="J1570" i="1"/>
  <c r="C1571" i="1"/>
  <c r="J1571" i="1"/>
  <c r="C1572" i="1"/>
  <c r="J1572" i="1"/>
  <c r="C1573" i="1"/>
  <c r="J1573" i="1"/>
  <c r="C1574" i="1"/>
  <c r="J1574" i="1"/>
  <c r="C1575" i="1"/>
  <c r="J1575" i="1"/>
  <c r="C1576" i="1"/>
  <c r="J1576" i="1"/>
  <c r="C1577" i="1"/>
  <c r="J1577" i="1"/>
  <c r="C1578" i="1"/>
  <c r="J1578" i="1"/>
  <c r="C1579" i="1"/>
  <c r="J1579" i="1"/>
  <c r="C1580" i="1"/>
  <c r="J1580" i="1"/>
  <c r="C1581" i="1"/>
  <c r="J1581" i="1"/>
  <c r="C1582" i="1"/>
  <c r="J1582" i="1"/>
  <c r="C1583" i="1"/>
  <c r="J1583" i="1"/>
  <c r="C1584" i="1"/>
  <c r="J1584" i="1"/>
  <c r="C1585" i="1"/>
  <c r="J1585" i="1"/>
  <c r="C1586" i="1"/>
  <c r="J1586" i="1"/>
  <c r="C1587" i="1"/>
  <c r="J1587" i="1"/>
  <c r="C1588" i="1"/>
  <c r="J1588" i="1"/>
  <c r="C1589" i="1"/>
  <c r="J1589" i="1"/>
  <c r="C1590" i="1"/>
  <c r="J1590" i="1"/>
  <c r="C1591" i="1"/>
  <c r="J1591" i="1"/>
  <c r="C1592" i="1"/>
  <c r="J1592" i="1"/>
  <c r="C1593" i="1"/>
  <c r="J1593" i="1"/>
  <c r="C1594" i="1"/>
  <c r="J1594" i="1"/>
  <c r="C1595" i="1"/>
  <c r="J1595" i="1"/>
  <c r="C1596" i="1"/>
  <c r="J1596" i="1"/>
  <c r="C1597" i="1"/>
  <c r="J1597" i="1"/>
  <c r="C1598" i="1"/>
  <c r="J1598" i="1"/>
  <c r="C1599" i="1"/>
  <c r="J1599" i="1"/>
  <c r="C1600" i="1"/>
  <c r="J1600" i="1"/>
  <c r="C1601" i="1"/>
  <c r="J1601" i="1"/>
  <c r="C1602" i="1"/>
  <c r="J1602" i="1"/>
  <c r="C1603" i="1"/>
  <c r="J1603" i="1"/>
  <c r="C1604" i="1"/>
  <c r="J1604" i="1"/>
  <c r="C1605" i="1"/>
  <c r="J1605" i="1"/>
  <c r="C1606" i="1"/>
  <c r="J1606" i="1"/>
  <c r="C1607" i="1"/>
  <c r="J1607" i="1"/>
  <c r="C1608" i="1"/>
  <c r="J1608" i="1"/>
  <c r="C1609" i="1"/>
  <c r="J1609" i="1"/>
  <c r="C1610" i="1"/>
  <c r="J1610" i="1"/>
  <c r="C1611" i="1"/>
  <c r="J1611" i="1"/>
  <c r="C1612" i="1"/>
  <c r="J1612" i="1"/>
  <c r="C1613" i="1"/>
  <c r="J1613" i="1"/>
  <c r="C1614" i="1"/>
  <c r="J1614" i="1"/>
  <c r="C1615" i="1"/>
  <c r="J1615" i="1"/>
  <c r="C1616" i="1"/>
  <c r="J1616" i="1"/>
  <c r="C1617" i="1"/>
  <c r="J1617" i="1"/>
  <c r="C1618" i="1"/>
  <c r="J1618" i="1"/>
  <c r="C1619" i="1"/>
  <c r="J1619" i="1"/>
  <c r="C1620" i="1"/>
  <c r="J1620" i="1"/>
  <c r="C1621" i="1"/>
  <c r="J1621" i="1"/>
  <c r="C1622" i="1"/>
  <c r="J1622" i="1"/>
  <c r="C1623" i="1"/>
  <c r="J1623" i="1"/>
  <c r="C1624" i="1"/>
  <c r="J1624" i="1"/>
  <c r="C1625" i="1"/>
  <c r="J1625" i="1"/>
  <c r="C1626" i="1"/>
  <c r="J1626" i="1"/>
  <c r="C1627" i="1"/>
  <c r="J1627" i="1"/>
  <c r="C1628" i="1"/>
  <c r="J1628" i="1"/>
  <c r="C1629" i="1"/>
  <c r="J1629" i="1"/>
  <c r="C1630" i="1"/>
  <c r="J1630" i="1"/>
  <c r="C1631" i="1"/>
  <c r="J1631" i="1"/>
  <c r="C1632" i="1"/>
  <c r="J1632" i="1"/>
  <c r="C1633" i="1"/>
  <c r="J1633" i="1"/>
  <c r="C1634" i="1"/>
  <c r="J1634" i="1"/>
  <c r="C1635" i="1"/>
  <c r="J1635" i="1"/>
  <c r="C1636" i="1"/>
  <c r="J1636" i="1"/>
  <c r="C1637" i="1"/>
  <c r="J1637" i="1"/>
  <c r="C1638" i="1"/>
  <c r="J1638" i="1"/>
  <c r="C1639" i="1"/>
  <c r="J1639" i="1"/>
  <c r="C1640" i="1"/>
  <c r="J1640" i="1"/>
  <c r="C1641" i="1"/>
  <c r="J1641" i="1"/>
  <c r="C1642" i="1"/>
  <c r="J1642" i="1"/>
  <c r="C1643" i="1"/>
  <c r="J1643" i="1"/>
  <c r="C1644" i="1"/>
  <c r="J1644" i="1"/>
  <c r="C1645" i="1"/>
  <c r="J1645" i="1"/>
  <c r="C1646" i="1"/>
  <c r="J1646" i="1"/>
  <c r="C1647" i="1"/>
  <c r="J1647" i="1"/>
  <c r="C1648" i="1"/>
  <c r="J1648" i="1"/>
  <c r="C1649" i="1"/>
  <c r="J1649" i="1"/>
  <c r="C1650" i="1"/>
  <c r="J1650" i="1"/>
  <c r="C1651" i="1"/>
  <c r="J1651" i="1"/>
  <c r="C1652" i="1"/>
  <c r="J1652" i="1"/>
  <c r="C1653" i="1"/>
  <c r="J1653" i="1"/>
  <c r="C1654" i="1"/>
  <c r="J1654" i="1"/>
  <c r="C1655" i="1"/>
  <c r="J1655" i="1"/>
  <c r="C1656" i="1"/>
  <c r="J1656" i="1"/>
  <c r="C1657" i="1"/>
  <c r="J1657" i="1"/>
  <c r="C1658" i="1"/>
  <c r="J1658" i="1"/>
  <c r="C1659" i="1"/>
  <c r="J1659" i="1"/>
  <c r="C1660" i="1"/>
  <c r="J1660" i="1"/>
  <c r="C1661" i="1"/>
  <c r="J1661" i="1"/>
  <c r="C1662" i="1"/>
  <c r="J1662" i="1"/>
  <c r="C1663" i="1"/>
  <c r="J1663" i="1"/>
  <c r="C1664" i="1"/>
  <c r="J1664" i="1"/>
  <c r="C1665" i="1"/>
  <c r="J1665" i="1"/>
  <c r="C1666" i="1"/>
  <c r="J1666" i="1"/>
  <c r="C1667" i="1"/>
  <c r="J1667" i="1"/>
  <c r="C1668" i="1"/>
  <c r="J1668" i="1"/>
  <c r="C1669" i="1"/>
  <c r="J1669" i="1"/>
  <c r="C1670" i="1"/>
  <c r="J1670" i="1"/>
  <c r="C1671" i="1"/>
  <c r="J1671" i="1"/>
  <c r="C1672" i="1"/>
  <c r="J1672" i="1"/>
  <c r="C1673" i="1"/>
  <c r="J1673" i="1"/>
  <c r="C1674" i="1"/>
  <c r="J1674" i="1"/>
  <c r="C1675" i="1"/>
  <c r="J1675" i="1"/>
  <c r="C1676" i="1"/>
  <c r="J1676" i="1"/>
  <c r="C1677" i="1"/>
  <c r="J1677" i="1"/>
  <c r="C1678" i="1"/>
  <c r="J1678" i="1"/>
  <c r="C1679" i="1"/>
  <c r="J1679" i="1"/>
  <c r="C1680" i="1"/>
  <c r="J1680" i="1"/>
  <c r="C1681" i="1"/>
  <c r="J1681" i="1"/>
  <c r="C1682" i="1"/>
  <c r="J1682" i="1"/>
  <c r="C1683" i="1"/>
  <c r="J1683" i="1"/>
  <c r="C1684" i="1"/>
  <c r="J1684" i="1"/>
  <c r="C1685" i="1"/>
  <c r="J1685" i="1"/>
  <c r="C1686" i="1"/>
  <c r="J1686" i="1"/>
  <c r="C1687" i="1"/>
  <c r="J1687" i="1"/>
  <c r="C1688" i="1"/>
  <c r="J1688" i="1"/>
  <c r="C1689" i="1"/>
  <c r="J1689" i="1"/>
  <c r="C1690" i="1"/>
  <c r="J1690" i="1"/>
  <c r="C1691" i="1"/>
  <c r="J1691" i="1"/>
  <c r="C1692" i="1"/>
  <c r="J1692" i="1"/>
  <c r="C1693" i="1"/>
  <c r="J1693" i="1"/>
  <c r="C1694" i="1"/>
  <c r="J1694" i="1"/>
  <c r="C1695" i="1"/>
  <c r="J1695" i="1"/>
  <c r="C1696" i="1"/>
  <c r="J1696" i="1"/>
  <c r="C1697" i="1"/>
  <c r="J1697" i="1"/>
  <c r="C1698" i="1"/>
  <c r="J1698" i="1"/>
  <c r="C1699" i="1"/>
  <c r="J1699" i="1"/>
  <c r="C1700" i="1"/>
  <c r="J1700" i="1"/>
  <c r="C1701" i="1"/>
  <c r="J1701" i="1"/>
  <c r="C1702" i="1"/>
  <c r="J1702" i="1"/>
  <c r="C1703" i="1"/>
  <c r="J1703" i="1"/>
  <c r="C1704" i="1"/>
  <c r="J1704" i="1"/>
  <c r="C1705" i="1"/>
  <c r="J1705" i="1"/>
  <c r="C1706" i="1"/>
  <c r="J1706" i="1"/>
  <c r="C1707" i="1"/>
  <c r="J1707" i="1"/>
  <c r="C1708" i="1"/>
  <c r="J1708" i="1"/>
  <c r="C1709" i="1"/>
  <c r="J1709" i="1"/>
  <c r="C1710" i="1"/>
  <c r="J1710" i="1"/>
  <c r="C1711" i="1"/>
  <c r="J1711" i="1"/>
  <c r="C1712" i="1"/>
  <c r="J1712" i="1"/>
  <c r="C1713" i="1"/>
  <c r="J1713" i="1"/>
  <c r="C1714" i="1"/>
  <c r="J1714" i="1"/>
  <c r="C1715" i="1"/>
  <c r="J1715" i="1"/>
  <c r="C1716" i="1"/>
  <c r="J1716" i="1"/>
  <c r="C1717" i="1"/>
  <c r="J1717" i="1"/>
  <c r="C1718" i="1"/>
  <c r="J1718" i="1"/>
  <c r="C1719" i="1"/>
  <c r="J1719" i="1"/>
  <c r="C1720" i="1"/>
  <c r="J1720" i="1"/>
  <c r="C1721" i="1"/>
  <c r="J1721" i="1"/>
  <c r="C1722" i="1"/>
  <c r="J1722" i="1"/>
  <c r="C1723" i="1"/>
  <c r="J1723" i="1"/>
  <c r="C1724" i="1"/>
  <c r="J1724" i="1"/>
  <c r="C1725" i="1"/>
  <c r="J1725" i="1"/>
  <c r="C1726" i="1"/>
  <c r="J1726" i="1"/>
  <c r="C1727" i="1"/>
  <c r="J1727" i="1"/>
  <c r="C1728" i="1"/>
  <c r="J1728" i="1"/>
  <c r="C1729" i="1"/>
  <c r="J1729" i="1"/>
  <c r="C1730" i="1"/>
  <c r="J1730" i="1"/>
  <c r="C1731" i="1"/>
  <c r="J1731" i="1"/>
  <c r="C1732" i="1"/>
  <c r="J1732" i="1"/>
  <c r="C1733" i="1"/>
  <c r="J1733" i="1"/>
  <c r="C1734" i="1"/>
  <c r="J1734" i="1"/>
  <c r="C1735" i="1"/>
  <c r="J1735" i="1"/>
  <c r="C1736" i="1"/>
  <c r="J1736" i="1"/>
  <c r="C1737" i="1"/>
  <c r="J1737" i="1"/>
  <c r="C1738" i="1"/>
  <c r="J1738" i="1"/>
  <c r="C1739" i="1"/>
  <c r="J1739" i="1"/>
  <c r="C1740" i="1"/>
  <c r="J1740" i="1"/>
  <c r="C1741" i="1"/>
  <c r="J1741" i="1"/>
  <c r="C1742" i="1"/>
  <c r="J1742" i="1"/>
  <c r="C1743" i="1"/>
  <c r="J1743" i="1"/>
  <c r="C1744" i="1"/>
  <c r="J1744" i="1"/>
  <c r="C1745" i="1"/>
  <c r="J1745" i="1"/>
  <c r="C1746" i="1"/>
  <c r="J1746" i="1"/>
  <c r="C1747" i="1"/>
  <c r="J1747" i="1"/>
  <c r="C1748" i="1"/>
  <c r="J1748" i="1"/>
  <c r="C1749" i="1"/>
  <c r="J1749" i="1"/>
  <c r="C1750" i="1"/>
  <c r="J1750" i="1"/>
  <c r="C1751" i="1"/>
  <c r="J1751" i="1"/>
  <c r="C1752" i="1"/>
  <c r="J1752" i="1"/>
  <c r="C1753" i="1"/>
  <c r="J1753" i="1"/>
  <c r="C1754" i="1"/>
  <c r="J1754" i="1"/>
  <c r="C1755" i="1"/>
  <c r="J1755" i="1"/>
  <c r="C1756" i="1"/>
  <c r="J1756" i="1"/>
  <c r="C1757" i="1"/>
  <c r="J1757" i="1"/>
  <c r="C1758" i="1"/>
  <c r="J1758" i="1"/>
  <c r="C1759" i="1"/>
  <c r="J1759" i="1"/>
  <c r="C1760" i="1"/>
  <c r="J1760" i="1"/>
  <c r="C1761" i="1"/>
  <c r="J1761" i="1"/>
  <c r="C1762" i="1"/>
  <c r="J1762" i="1"/>
  <c r="C1763" i="1"/>
  <c r="J1763" i="1"/>
  <c r="C1764" i="1"/>
  <c r="J1764" i="1"/>
  <c r="C1765" i="1"/>
  <c r="J1765" i="1"/>
  <c r="C1766" i="1"/>
  <c r="J1766" i="1"/>
  <c r="C1767" i="1"/>
  <c r="J1767" i="1"/>
  <c r="C1768" i="1"/>
  <c r="J1768" i="1"/>
  <c r="C1769" i="1"/>
  <c r="J1769" i="1"/>
  <c r="C1770" i="1"/>
  <c r="J1770" i="1"/>
  <c r="C1771" i="1"/>
  <c r="J1771" i="1"/>
  <c r="C1772" i="1"/>
  <c r="J1772" i="1"/>
  <c r="C1773" i="1"/>
  <c r="J1773" i="1"/>
  <c r="C1774" i="1"/>
  <c r="J1774" i="1"/>
  <c r="C1775" i="1"/>
  <c r="J1775" i="1"/>
  <c r="C1776" i="1"/>
  <c r="J1776" i="1"/>
  <c r="C1777" i="1"/>
  <c r="J1777" i="1"/>
  <c r="C1778" i="1"/>
  <c r="J1778" i="1"/>
  <c r="C1779" i="1"/>
  <c r="J1779" i="1"/>
  <c r="C1780" i="1"/>
  <c r="J1780" i="1"/>
  <c r="C1781" i="1"/>
  <c r="J1781" i="1"/>
  <c r="C1782" i="1"/>
  <c r="J1782" i="1"/>
  <c r="C1783" i="1"/>
  <c r="J1783" i="1"/>
  <c r="C1784" i="1"/>
  <c r="J1784" i="1"/>
  <c r="C1785" i="1"/>
  <c r="J1785" i="1"/>
  <c r="C1786" i="1"/>
  <c r="J1786" i="1"/>
  <c r="C1787" i="1"/>
  <c r="J1787" i="1"/>
  <c r="C1788" i="1"/>
  <c r="J1788" i="1"/>
  <c r="C1789" i="1"/>
  <c r="J1789" i="1"/>
  <c r="C1790" i="1"/>
  <c r="J1790" i="1"/>
  <c r="C1791" i="1"/>
  <c r="J1791" i="1"/>
  <c r="C1792" i="1"/>
  <c r="J1792" i="1"/>
  <c r="C1793" i="1"/>
  <c r="J1793" i="1"/>
  <c r="C1794" i="1"/>
  <c r="J1794" i="1"/>
  <c r="C1795" i="1"/>
  <c r="J1795" i="1"/>
  <c r="C1796" i="1"/>
  <c r="J1796" i="1"/>
  <c r="C1797" i="1"/>
  <c r="J1797" i="1"/>
  <c r="C1798" i="1"/>
  <c r="J1798" i="1"/>
  <c r="C1799" i="1"/>
  <c r="J1799" i="1"/>
  <c r="C1800" i="1"/>
  <c r="J1800" i="1"/>
  <c r="C1801" i="1"/>
  <c r="J1801" i="1"/>
  <c r="C1802" i="1"/>
  <c r="J1802" i="1"/>
  <c r="C1803" i="1"/>
  <c r="J1803" i="1"/>
  <c r="C1804" i="1"/>
  <c r="J1804" i="1"/>
  <c r="C1805" i="1"/>
  <c r="J1805" i="1"/>
  <c r="C1806" i="1"/>
  <c r="J1806" i="1"/>
  <c r="C1807" i="1"/>
  <c r="J1807" i="1"/>
  <c r="C1808" i="1"/>
  <c r="J1808" i="1"/>
  <c r="C1809" i="1"/>
  <c r="J1809" i="1"/>
  <c r="C1810" i="1"/>
  <c r="J1810" i="1"/>
  <c r="C1811" i="1"/>
  <c r="J1811" i="1"/>
  <c r="C1812" i="1"/>
  <c r="J1812" i="1"/>
  <c r="C1813" i="1"/>
  <c r="J1813" i="1"/>
  <c r="C1814" i="1"/>
  <c r="J1814" i="1"/>
  <c r="C1815" i="1"/>
  <c r="J1815" i="1"/>
  <c r="C1816" i="1"/>
  <c r="J1816" i="1"/>
  <c r="C1817" i="1"/>
  <c r="J1817" i="1"/>
  <c r="C1818" i="1"/>
  <c r="J1818" i="1"/>
  <c r="C1819" i="1"/>
  <c r="J1819" i="1"/>
  <c r="C1820" i="1"/>
  <c r="J1820" i="1"/>
  <c r="C1821" i="1"/>
  <c r="J1821" i="1"/>
  <c r="C1822" i="1"/>
  <c r="J1822" i="1"/>
  <c r="C1823" i="1"/>
  <c r="J1823" i="1"/>
  <c r="C1824" i="1"/>
  <c r="J1824" i="1"/>
  <c r="C1825" i="1"/>
  <c r="J1825" i="1"/>
  <c r="C1826" i="1"/>
  <c r="J1826" i="1"/>
  <c r="C1827" i="1"/>
  <c r="J1827" i="1"/>
  <c r="C1828" i="1"/>
  <c r="J1828" i="1"/>
  <c r="C1829" i="1"/>
  <c r="J1829" i="1"/>
  <c r="C1830" i="1"/>
  <c r="J1830" i="1"/>
  <c r="C1831" i="1"/>
  <c r="J1831" i="1"/>
  <c r="C1832" i="1"/>
  <c r="J1832" i="1"/>
  <c r="C1833" i="1"/>
  <c r="J1833" i="1"/>
  <c r="C1834" i="1"/>
  <c r="J1834" i="1"/>
  <c r="C1835" i="1"/>
  <c r="J1835" i="1"/>
  <c r="C1836" i="1"/>
  <c r="J1836" i="1"/>
  <c r="C1837" i="1"/>
  <c r="J1837" i="1"/>
</calcChain>
</file>

<file path=xl/sharedStrings.xml><?xml version="1.0" encoding="utf-8"?>
<sst xmlns="http://schemas.openxmlformats.org/spreadsheetml/2006/main" count="7349" uniqueCount="91">
  <si>
    <t>Date</t>
  </si>
  <si>
    <t>Buyer Name</t>
  </si>
  <si>
    <t>Product</t>
  </si>
  <si>
    <t>Product Type</t>
  </si>
  <si>
    <t>Size</t>
  </si>
  <si>
    <t>No. of Products</t>
  </si>
  <si>
    <t>Price (LKR)</t>
  </si>
  <si>
    <t>Kantharuban</t>
  </si>
  <si>
    <t>Pratheeban</t>
  </si>
  <si>
    <t>Ravindran</t>
  </si>
  <si>
    <t>Thushanth</t>
  </si>
  <si>
    <t>Mathivathani</t>
  </si>
  <si>
    <t>Thanushan</t>
  </si>
  <si>
    <t>Vimaladevi</t>
  </si>
  <si>
    <t>Kaviyangan</t>
  </si>
  <si>
    <t>Yarlini</t>
  </si>
  <si>
    <t>Nanthini</t>
  </si>
  <si>
    <t>Parameshwaran</t>
  </si>
  <si>
    <t>Manimekalai</t>
  </si>
  <si>
    <t>Shanmugapriya</t>
  </si>
  <si>
    <t>Kavindran</t>
  </si>
  <si>
    <t>Sivakumar</t>
  </si>
  <si>
    <t>Aadhishankara</t>
  </si>
  <si>
    <t>Mathushika</t>
  </si>
  <si>
    <t>Harishankar</t>
  </si>
  <si>
    <t>Thamilselvan</t>
  </si>
  <si>
    <t>Subramaniam</t>
  </si>
  <si>
    <t>T-shirt</t>
  </si>
  <si>
    <t>Awards</t>
  </si>
  <si>
    <t>Pillow</t>
  </si>
  <si>
    <t>Signature Frame</t>
  </si>
  <si>
    <t>Frames</t>
  </si>
  <si>
    <t>Banner</t>
  </si>
  <si>
    <t>Business Card</t>
  </si>
  <si>
    <t>Wood</t>
  </si>
  <si>
    <t>3D Crystal Frames</t>
  </si>
  <si>
    <t>Mag</t>
  </si>
  <si>
    <t>Couple White</t>
  </si>
  <si>
    <t>Couple Black</t>
  </si>
  <si>
    <t>Niom</t>
  </si>
  <si>
    <t>Love Heart</t>
  </si>
  <si>
    <t>White</t>
  </si>
  <si>
    <t>Baby Size</t>
  </si>
  <si>
    <t>Crystal</t>
  </si>
  <si>
    <t>Indoor</t>
  </si>
  <si>
    <t>Duro</t>
  </si>
  <si>
    <t>Normal</t>
  </si>
  <si>
    <t>Digital</t>
  </si>
  <si>
    <t>Non-Glass</t>
  </si>
  <si>
    <t>Laser Print</t>
  </si>
  <si>
    <t>Black</t>
  </si>
  <si>
    <t>Outdoor</t>
  </si>
  <si>
    <t>Glass</t>
  </si>
  <si>
    <t>Large</t>
  </si>
  <si>
    <t>Medium</t>
  </si>
  <si>
    <t>Design 2</t>
  </si>
  <si>
    <t>40cm</t>
  </si>
  <si>
    <t>16 inch</t>
  </si>
  <si>
    <t>Design 4</t>
  </si>
  <si>
    <t>12×18</t>
  </si>
  <si>
    <t>20cm</t>
  </si>
  <si>
    <t>20×30</t>
  </si>
  <si>
    <t>2×4 ft</t>
  </si>
  <si>
    <t>10×12</t>
  </si>
  <si>
    <t>Small</t>
  </si>
  <si>
    <t>3×5</t>
  </si>
  <si>
    <t>10×15</t>
  </si>
  <si>
    <t>16×24</t>
  </si>
  <si>
    <t>A5</t>
  </si>
  <si>
    <t>12×15</t>
  </si>
  <si>
    <t>6×8 ft</t>
  </si>
  <si>
    <t>Design 3</t>
  </si>
  <si>
    <t>4×6 ft</t>
  </si>
  <si>
    <t>6×8</t>
  </si>
  <si>
    <t>3×6 ft</t>
  </si>
  <si>
    <t>A4</t>
  </si>
  <si>
    <t>12×12</t>
  </si>
  <si>
    <t>Design 5</t>
  </si>
  <si>
    <t>Magic</t>
  </si>
  <si>
    <t>Design 1</t>
  </si>
  <si>
    <t>15×18 ft</t>
  </si>
  <si>
    <t>8×12 ft</t>
  </si>
  <si>
    <t>18×24</t>
  </si>
  <si>
    <t>10×12 ft</t>
  </si>
  <si>
    <t>23×18</t>
  </si>
  <si>
    <t>Gold</t>
  </si>
  <si>
    <t>24×36</t>
  </si>
  <si>
    <t>2×5 ft</t>
  </si>
  <si>
    <t>Unit Price</t>
  </si>
  <si>
    <t>Order ID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</si>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</sst>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8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/>
    </xf>
    <xf numFmtId="168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0" fillId="0" borderId="0" xfId="0" applyNumberFormat="1" applyBorder="1" applyAlignment="1">
      <alignment horizontal="right"/>
    </xf>
    <xf numFmtId="0" fontId="2" fillId="0" borderId="3" xfId="0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3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8" fontId="1" fillId="0" borderId="4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BD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72"/>
  <sheetViews>
    <sheetView tabSelected="1" zoomScale="108" zoomScaleNormal="115" workbookViewId="0">
      <selection activeCell="C9" sqref="C9"/>
    </sheetView>
  </sheetViews>
  <sheetFormatPr defaultRowHeight="15" outlineLevelCol="1" x14ac:dyDescent="0.25"/>
  <cols>
    <col min="2" max="2" width="20.7109375" style="2" customWidth="1"/>
    <col min="3" max="3" width="20.7109375" style="9" customWidth="1"/>
    <col min="4" max="5" width="20.7109375" style="1" customWidth="1"/>
    <col min="6" max="7" width="20.7109375" style="1" customWidth="1" outlineLevel="1"/>
    <col min="8" max="10" width="20.7109375" style="1" customWidth="1"/>
    <col min="13" max="13" width="16.42578125" customWidth="1"/>
    <col min="14" max="14" width="14.28515625" customWidth="1"/>
    <col min="15" max="15" width="13.28515625" customWidth="1"/>
    <col min="16" max="16" width="15.85546875" customWidth="1"/>
  </cols>
  <sheetData>
    <row r="1" spans="2:10" ht="15.75" thickBot="1" x14ac:dyDescent="0.3"/>
    <row r="2" spans="2:10" ht="20.100000000000001" customHeight="1" thickBot="1" x14ac:dyDescent="0.3">
      <c r="B2" s="15" t="s">
        <v>0</v>
      </c>
      <c r="C2" s="16" t="s">
        <v>89</v>
      </c>
      <c r="D2" s="17" t="s">
        <v>1</v>
      </c>
      <c r="E2" s="18" t="s">
        <v>2</v>
      </c>
      <c r="F2" s="18" t="s">
        <v>3</v>
      </c>
      <c r="G2" s="18" t="s">
        <v>4</v>
      </c>
      <c r="H2" s="18" t="s">
        <v>88</v>
      </c>
      <c r="I2" s="18" t="s">
        <v>5</v>
      </c>
      <c r="J2" s="19" t="s">
        <v>6</v>
      </c>
    </row>
    <row r="3" spans="2:10" ht="20.100000000000001" customHeight="1" x14ac:dyDescent="0.25">
      <c r="B3" s="4">
        <v>44896</v>
      </c>
      <c r="C3" s="8" t="str">
        <f>"Ord-12-22-"&amp;TEXT(ROW(C1),"000")</f>
        <v>Ord-12-22-001</v>
      </c>
      <c r="D3" s="6" t="s">
        <v>9</v>
      </c>
      <c r="E3" s="10" t="s">
        <v>28</v>
      </c>
      <c r="F3" s="10" t="s">
        <v>28</v>
      </c>
      <c r="G3" s="10" t="s">
        <v>55</v>
      </c>
      <c r="H3" s="10">
        <v>750</v>
      </c>
      <c r="I3" s="6">
        <v>1</v>
      </c>
      <c r="J3" s="6">
        <f>H3*I3</f>
        <v>750</v>
      </c>
    </row>
    <row r="4" spans="2:10" ht="20.100000000000001" customHeight="1" x14ac:dyDescent="0.25">
      <c r="B4" s="4">
        <v>44896</v>
      </c>
      <c r="C4" s="8" t="str">
        <f>"Ord-12-22-"&amp;TEXT(ROW(C2),"000")</f>
        <v>Ord-12-22-002</v>
      </c>
      <c r="D4" s="6" t="s">
        <v>8</v>
      </c>
      <c r="E4" s="10" t="s">
        <v>27</v>
      </c>
      <c r="F4" s="10" t="s">
        <v>38</v>
      </c>
      <c r="G4" s="10" t="s">
        <v>54</v>
      </c>
      <c r="H4" s="10">
        <v>5200</v>
      </c>
      <c r="I4" s="6">
        <v>2</v>
      </c>
      <c r="J4" s="6">
        <f>H4*I4</f>
        <v>10400</v>
      </c>
    </row>
    <row r="5" spans="2:10" ht="20.100000000000001" customHeight="1" x14ac:dyDescent="0.25">
      <c r="B5" s="4">
        <v>44896</v>
      </c>
      <c r="C5" s="8" t="str">
        <f>"Ord-12-22-"&amp;TEXT(ROW(C3),"000")</f>
        <v>Ord-12-22-003</v>
      </c>
      <c r="D5" s="6" t="s">
        <v>7</v>
      </c>
      <c r="E5" s="10" t="s">
        <v>27</v>
      </c>
      <c r="F5" s="10" t="s">
        <v>37</v>
      </c>
      <c r="G5" s="10" t="s">
        <v>53</v>
      </c>
      <c r="H5" s="10">
        <v>5200</v>
      </c>
      <c r="I5" s="6">
        <v>1</v>
      </c>
      <c r="J5" s="6">
        <f>H5*I5</f>
        <v>5200</v>
      </c>
    </row>
    <row r="6" spans="2:10" ht="20.100000000000001" customHeight="1" x14ac:dyDescent="0.25">
      <c r="B6" s="4">
        <v>44897</v>
      </c>
      <c r="C6" s="8" t="str">
        <f>"Ord-12-22-"&amp;TEXT(ROW(C4),"000")</f>
        <v>Ord-12-22-004</v>
      </c>
      <c r="D6" s="6" t="s">
        <v>8</v>
      </c>
      <c r="E6" s="10" t="s">
        <v>28</v>
      </c>
      <c r="F6" s="10" t="s">
        <v>28</v>
      </c>
      <c r="G6" s="10" t="s">
        <v>58</v>
      </c>
      <c r="H6" s="10">
        <v>1000</v>
      </c>
      <c r="I6" s="6">
        <v>2</v>
      </c>
      <c r="J6" s="6">
        <f>H6*I6</f>
        <v>2000</v>
      </c>
    </row>
    <row r="7" spans="2:10" ht="20.100000000000001" customHeight="1" x14ac:dyDescent="0.25">
      <c r="B7" s="4">
        <v>44897</v>
      </c>
      <c r="C7" s="8" t="str">
        <f>"Ord-12-22-"&amp;TEXT(ROW(C5),"000")</f>
        <v>Ord-12-22-005</v>
      </c>
      <c r="D7" s="6" t="s">
        <v>7</v>
      </c>
      <c r="E7" s="10" t="s">
        <v>30</v>
      </c>
      <c r="F7" s="10" t="s">
        <v>90</v>
      </c>
      <c r="G7" s="10" t="s">
        <v>59</v>
      </c>
      <c r="H7" s="10">
        <v>4800</v>
      </c>
      <c r="I7" s="6">
        <v>1</v>
      </c>
      <c r="J7" s="6">
        <f>H7*I7</f>
        <v>4800</v>
      </c>
    </row>
    <row r="8" spans="2:10" ht="20.100000000000001" customHeight="1" x14ac:dyDescent="0.25">
      <c r="B8" s="4">
        <v>44897</v>
      </c>
      <c r="C8" s="8" t="str">
        <f>"Ord-12-22-"&amp;TEXT(ROW(C6),"000")</f>
        <v>Ord-12-22-006</v>
      </c>
      <c r="D8" s="6" t="s">
        <v>14</v>
      </c>
      <c r="E8" s="10" t="s">
        <v>27</v>
      </c>
      <c r="F8" s="10" t="s">
        <v>42</v>
      </c>
      <c r="G8" s="10" t="s">
        <v>42</v>
      </c>
      <c r="H8" s="10">
        <v>2500</v>
      </c>
      <c r="I8" s="6">
        <v>1</v>
      </c>
      <c r="J8" s="6">
        <f>H8*I8</f>
        <v>2500</v>
      </c>
    </row>
    <row r="9" spans="2:10" ht="20.100000000000001" customHeight="1" x14ac:dyDescent="0.25">
      <c r="B9" s="4">
        <v>44897</v>
      </c>
      <c r="C9" s="8" t="str">
        <f>"Ord-12-22-"&amp;TEXT(ROW(C7),"000")</f>
        <v>Ord-12-22-007</v>
      </c>
      <c r="D9" s="6" t="s">
        <v>12</v>
      </c>
      <c r="E9" s="10" t="s">
        <v>27</v>
      </c>
      <c r="F9" s="10" t="s">
        <v>41</v>
      </c>
      <c r="G9" s="10" t="s">
        <v>54</v>
      </c>
      <c r="H9" s="10">
        <v>2800</v>
      </c>
      <c r="I9" s="6">
        <v>1</v>
      </c>
      <c r="J9" s="6">
        <f>H9*I9</f>
        <v>2800</v>
      </c>
    </row>
    <row r="10" spans="2:10" ht="20.100000000000001" customHeight="1" x14ac:dyDescent="0.25">
      <c r="B10" s="4">
        <v>44898</v>
      </c>
      <c r="C10" s="8" t="str">
        <f>"Ord-12-22-"&amp;TEXT(ROW(C8),"000")</f>
        <v>Ord-12-22-008</v>
      </c>
      <c r="D10" s="6" t="s">
        <v>11</v>
      </c>
      <c r="E10" s="10" t="s">
        <v>32</v>
      </c>
      <c r="F10" s="10" t="s">
        <v>44</v>
      </c>
      <c r="G10" s="10" t="s">
        <v>62</v>
      </c>
      <c r="H10" s="10">
        <v>1200</v>
      </c>
      <c r="I10" s="6">
        <v>1</v>
      </c>
      <c r="J10" s="6">
        <f>H10*I10</f>
        <v>1200</v>
      </c>
    </row>
    <row r="11" spans="2:10" ht="20.100000000000001" customHeight="1" x14ac:dyDescent="0.25">
      <c r="B11" s="4">
        <v>44898</v>
      </c>
      <c r="C11" s="8" t="str">
        <f>"Ord-12-22-"&amp;TEXT(ROW(C9),"000")</f>
        <v>Ord-12-22-009</v>
      </c>
      <c r="D11" s="6" t="s">
        <v>17</v>
      </c>
      <c r="E11" s="10" t="s">
        <v>31</v>
      </c>
      <c r="F11" s="10" t="s">
        <v>45</v>
      </c>
      <c r="G11" s="10" t="s">
        <v>63</v>
      </c>
      <c r="H11" s="10">
        <v>1800</v>
      </c>
      <c r="I11" s="6">
        <v>2</v>
      </c>
      <c r="J11" s="6">
        <f>H11*I11</f>
        <v>3600</v>
      </c>
    </row>
    <row r="12" spans="2:10" ht="20.100000000000001" customHeight="1" x14ac:dyDescent="0.25">
      <c r="B12" s="4">
        <v>44900</v>
      </c>
      <c r="C12" s="8" t="str">
        <f>"Ord-12-22-"&amp;TEXT(ROW(C10),"000")</f>
        <v>Ord-12-22-010</v>
      </c>
      <c r="D12" s="6" t="s">
        <v>22</v>
      </c>
      <c r="E12" s="10" t="s">
        <v>33</v>
      </c>
      <c r="F12" s="10" t="s">
        <v>46</v>
      </c>
      <c r="G12" s="10" t="s">
        <v>65</v>
      </c>
      <c r="H12" s="10">
        <v>15</v>
      </c>
      <c r="I12" s="6">
        <v>100</v>
      </c>
      <c r="J12" s="6">
        <f>H12*I12</f>
        <v>1500</v>
      </c>
    </row>
    <row r="13" spans="2:10" ht="20.100000000000001" customHeight="1" x14ac:dyDescent="0.25">
      <c r="B13" s="4">
        <v>44900</v>
      </c>
      <c r="C13" s="8" t="str">
        <f>"Ord-12-22-"&amp;TEXT(ROW(C11),"000")</f>
        <v>Ord-12-22-011</v>
      </c>
      <c r="D13" s="6" t="s">
        <v>21</v>
      </c>
      <c r="E13" s="10" t="s">
        <v>34</v>
      </c>
      <c r="F13" s="10" t="s">
        <v>49</v>
      </c>
      <c r="G13" s="10" t="s">
        <v>68</v>
      </c>
      <c r="H13" s="10">
        <v>4000</v>
      </c>
      <c r="I13" s="7">
        <v>1</v>
      </c>
      <c r="J13" s="6">
        <f>H13*I13</f>
        <v>4000</v>
      </c>
    </row>
    <row r="14" spans="2:10" ht="20.100000000000001" customHeight="1" x14ac:dyDescent="0.25">
      <c r="B14" s="4">
        <v>44901</v>
      </c>
      <c r="C14" s="8" t="str">
        <f>"Ord-12-22-"&amp;TEXT(ROW(C12),"000")</f>
        <v>Ord-12-22-012</v>
      </c>
      <c r="D14" s="6" t="s">
        <v>23</v>
      </c>
      <c r="E14" s="10" t="s">
        <v>31</v>
      </c>
      <c r="F14" s="10" t="s">
        <v>45</v>
      </c>
      <c r="G14" s="10" t="s">
        <v>66</v>
      </c>
      <c r="H14" s="10">
        <v>2300</v>
      </c>
      <c r="I14" s="6">
        <v>2</v>
      </c>
      <c r="J14" s="6">
        <f>H14*I14</f>
        <v>4600</v>
      </c>
    </row>
    <row r="15" spans="2:10" ht="20.100000000000001" customHeight="1" x14ac:dyDescent="0.25">
      <c r="B15" s="4">
        <v>44901</v>
      </c>
      <c r="C15" s="8" t="str">
        <f>"Ord-12-22-"&amp;TEXT(ROW(C13),"000")</f>
        <v>Ord-12-22-013</v>
      </c>
      <c r="D15" s="6" t="s">
        <v>13</v>
      </c>
      <c r="E15" s="10" t="s">
        <v>29</v>
      </c>
      <c r="F15" s="10" t="s">
        <v>39</v>
      </c>
      <c r="G15" s="10" t="s">
        <v>56</v>
      </c>
      <c r="H15" s="10">
        <v>2500</v>
      </c>
      <c r="I15" s="6">
        <v>3</v>
      </c>
      <c r="J15" s="6">
        <f>H15*I15</f>
        <v>7500</v>
      </c>
    </row>
    <row r="16" spans="2:10" ht="20.100000000000001" customHeight="1" x14ac:dyDescent="0.25">
      <c r="B16" s="4">
        <v>44901</v>
      </c>
      <c r="C16" s="8" t="str">
        <f>"Ord-12-22-"&amp;TEXT(ROW(C14),"000")</f>
        <v>Ord-12-22-014</v>
      </c>
      <c r="D16" s="6" t="s">
        <v>20</v>
      </c>
      <c r="E16" s="10" t="s">
        <v>27</v>
      </c>
      <c r="F16" s="10" t="s">
        <v>50</v>
      </c>
      <c r="G16" s="10" t="s">
        <v>53</v>
      </c>
      <c r="H16" s="10">
        <v>3500</v>
      </c>
      <c r="I16" s="6">
        <v>2</v>
      </c>
      <c r="J16" s="6">
        <f>H16*I16</f>
        <v>7000</v>
      </c>
    </row>
    <row r="17" spans="2:10" ht="20.100000000000001" customHeight="1" x14ac:dyDescent="0.25">
      <c r="B17" s="4">
        <v>44901</v>
      </c>
      <c r="C17" s="8" t="str">
        <f>"Ord-12-22-"&amp;TEXT(ROW(C15),"000")</f>
        <v>Ord-12-22-015</v>
      </c>
      <c r="D17" s="6" t="s">
        <v>22</v>
      </c>
      <c r="E17" s="10" t="s">
        <v>27</v>
      </c>
      <c r="F17" s="10" t="s">
        <v>37</v>
      </c>
      <c r="G17" s="10" t="s">
        <v>54</v>
      </c>
      <c r="H17" s="10">
        <v>5000</v>
      </c>
      <c r="I17" s="6">
        <v>1</v>
      </c>
      <c r="J17" s="6">
        <f>H17*I17</f>
        <v>5000</v>
      </c>
    </row>
    <row r="18" spans="2:10" ht="20.100000000000001" customHeight="1" x14ac:dyDescent="0.25">
      <c r="B18" s="4">
        <v>44902</v>
      </c>
      <c r="C18" s="8" t="str">
        <f>"Ord-12-22-"&amp;TEXT(ROW(C16),"000")</f>
        <v>Ord-12-22-016</v>
      </c>
      <c r="D18" s="6" t="s">
        <v>20</v>
      </c>
      <c r="E18" s="10" t="s">
        <v>35</v>
      </c>
      <c r="F18" s="10" t="s">
        <v>90</v>
      </c>
      <c r="G18" s="10" t="s">
        <v>55</v>
      </c>
      <c r="H18" s="10">
        <v>5000</v>
      </c>
      <c r="I18" s="6">
        <v>1</v>
      </c>
      <c r="J18" s="6">
        <f>H18*I18</f>
        <v>5000</v>
      </c>
    </row>
    <row r="19" spans="2:10" ht="20.100000000000001" customHeight="1" x14ac:dyDescent="0.25">
      <c r="B19" s="4">
        <v>44902</v>
      </c>
      <c r="C19" s="8" t="str">
        <f>"Ord-12-22-"&amp;TEXT(ROW(C17),"000")</f>
        <v>Ord-12-22-017</v>
      </c>
      <c r="D19" s="6" t="s">
        <v>25</v>
      </c>
      <c r="E19" s="10" t="s">
        <v>32</v>
      </c>
      <c r="F19" s="10" t="s">
        <v>51</v>
      </c>
      <c r="G19" s="10" t="s">
        <v>70</v>
      </c>
      <c r="H19" s="10">
        <v>2600</v>
      </c>
      <c r="I19" s="6">
        <v>1</v>
      </c>
      <c r="J19" s="6">
        <f>H19*I19</f>
        <v>2600</v>
      </c>
    </row>
    <row r="20" spans="2:10" ht="20.100000000000001" customHeight="1" x14ac:dyDescent="0.25">
      <c r="B20" s="4">
        <v>44902</v>
      </c>
      <c r="C20" s="8" t="str">
        <f>"Ord-12-22-"&amp;TEXT(ROW(C18),"000")</f>
        <v>Ord-12-22-018</v>
      </c>
      <c r="D20" s="6" t="s">
        <v>11</v>
      </c>
      <c r="E20" s="10" t="s">
        <v>33</v>
      </c>
      <c r="F20" s="10" t="s">
        <v>47</v>
      </c>
      <c r="G20" s="10" t="s">
        <v>65</v>
      </c>
      <c r="H20" s="10">
        <v>25</v>
      </c>
      <c r="I20" s="6">
        <v>120</v>
      </c>
      <c r="J20" s="6">
        <f>H20*I20</f>
        <v>3000</v>
      </c>
    </row>
    <row r="21" spans="2:10" ht="20.100000000000001" customHeight="1" x14ac:dyDescent="0.25">
      <c r="B21" s="4">
        <v>44902</v>
      </c>
      <c r="C21" s="8" t="str">
        <f>"Ord-12-22-"&amp;TEXT(ROW(C19),"000")</f>
        <v>Ord-12-22-019</v>
      </c>
      <c r="D21" s="6" t="s">
        <v>21</v>
      </c>
      <c r="E21" s="10" t="s">
        <v>31</v>
      </c>
      <c r="F21" s="10" t="s">
        <v>43</v>
      </c>
      <c r="G21" s="10" t="s">
        <v>59</v>
      </c>
      <c r="H21" s="10">
        <v>5200</v>
      </c>
      <c r="I21" s="6">
        <v>1</v>
      </c>
      <c r="J21" s="6">
        <f>H21*I21</f>
        <v>5200</v>
      </c>
    </row>
    <row r="22" spans="2:10" ht="20.100000000000001" customHeight="1" x14ac:dyDescent="0.25">
      <c r="B22" s="4">
        <v>44902</v>
      </c>
      <c r="C22" s="8" t="str">
        <f>"Ord-12-22-"&amp;TEXT(ROW(C20),"000")</f>
        <v>Ord-12-22-020</v>
      </c>
      <c r="D22" s="6" t="s">
        <v>14</v>
      </c>
      <c r="E22" s="10" t="s">
        <v>31</v>
      </c>
      <c r="F22" s="10" t="s">
        <v>48</v>
      </c>
      <c r="G22" s="10" t="s">
        <v>69</v>
      </c>
      <c r="H22" s="10">
        <v>3500</v>
      </c>
      <c r="I22" s="6">
        <v>2</v>
      </c>
      <c r="J22" s="6">
        <f>H22*I22</f>
        <v>7000</v>
      </c>
    </row>
    <row r="23" spans="2:10" ht="20.100000000000001" customHeight="1" x14ac:dyDescent="0.25">
      <c r="B23" s="4">
        <v>44903</v>
      </c>
      <c r="C23" s="8" t="str">
        <f>"Ord-12-22-"&amp;TEXT(ROW(C21),"000")</f>
        <v>Ord-12-22-021</v>
      </c>
      <c r="D23" s="6" t="s">
        <v>23</v>
      </c>
      <c r="E23" s="10" t="s">
        <v>35</v>
      </c>
      <c r="F23" s="10" t="s">
        <v>90</v>
      </c>
      <c r="G23" s="10" t="s">
        <v>58</v>
      </c>
      <c r="H23" s="10">
        <v>7500</v>
      </c>
      <c r="I23" s="6">
        <v>1</v>
      </c>
      <c r="J23" s="6">
        <f>H23*I23</f>
        <v>7500</v>
      </c>
    </row>
    <row r="24" spans="2:10" ht="20.100000000000001" customHeight="1" x14ac:dyDescent="0.25">
      <c r="B24" s="4">
        <v>44903</v>
      </c>
      <c r="C24" s="8" t="str">
        <f>"Ord-12-22-"&amp;TEXT(ROW(C22),"000")</f>
        <v>Ord-12-22-022</v>
      </c>
      <c r="D24" s="6" t="s">
        <v>25</v>
      </c>
      <c r="E24" s="10" t="s">
        <v>36</v>
      </c>
      <c r="F24" s="10" t="s">
        <v>36</v>
      </c>
      <c r="G24" s="10" t="s">
        <v>41</v>
      </c>
      <c r="H24" s="10">
        <v>2000</v>
      </c>
      <c r="I24" s="6">
        <v>2</v>
      </c>
      <c r="J24" s="6">
        <f>H24*I24</f>
        <v>4000</v>
      </c>
    </row>
    <row r="25" spans="2:10" ht="20.100000000000001" customHeight="1" x14ac:dyDescent="0.25">
      <c r="B25" s="4">
        <v>44903</v>
      </c>
      <c r="C25" s="8" t="str">
        <f>"Ord-12-22-"&amp;TEXT(ROW(C23),"000")</f>
        <v>Ord-12-22-023</v>
      </c>
      <c r="D25" s="6" t="s">
        <v>11</v>
      </c>
      <c r="E25" s="10" t="s">
        <v>29</v>
      </c>
      <c r="F25" s="10" t="s">
        <v>39</v>
      </c>
      <c r="G25" s="10" t="s">
        <v>56</v>
      </c>
      <c r="H25" s="10">
        <v>2500</v>
      </c>
      <c r="I25" s="7">
        <v>3</v>
      </c>
      <c r="J25" s="6">
        <f>H25*I25</f>
        <v>7500</v>
      </c>
    </row>
    <row r="26" spans="2:10" ht="20.100000000000001" customHeight="1" x14ac:dyDescent="0.25">
      <c r="B26" s="4">
        <v>44903</v>
      </c>
      <c r="C26" s="8" t="str">
        <f>"Ord-12-22-"&amp;TEXT(ROW(C24),"000")</f>
        <v>Ord-12-22-024</v>
      </c>
      <c r="D26" s="6" t="s">
        <v>15</v>
      </c>
      <c r="E26" s="10" t="s">
        <v>27</v>
      </c>
      <c r="F26" s="10" t="s">
        <v>37</v>
      </c>
      <c r="G26" s="10" t="s">
        <v>54</v>
      </c>
      <c r="H26" s="10">
        <v>5000</v>
      </c>
      <c r="I26" s="6">
        <v>1</v>
      </c>
      <c r="J26" s="6">
        <f>H26*I26</f>
        <v>5000</v>
      </c>
    </row>
    <row r="27" spans="2:10" ht="20.100000000000001" customHeight="1" x14ac:dyDescent="0.25">
      <c r="B27" s="4">
        <v>44904</v>
      </c>
      <c r="C27" s="8" t="str">
        <f>"Ord-12-22-"&amp;TEXT(ROW(C25),"000")</f>
        <v>Ord-12-22-025</v>
      </c>
      <c r="D27" s="6" t="s">
        <v>24</v>
      </c>
      <c r="E27" s="10" t="s">
        <v>33</v>
      </c>
      <c r="F27" s="10" t="s">
        <v>47</v>
      </c>
      <c r="G27" s="10" t="s">
        <v>65</v>
      </c>
      <c r="H27" s="10">
        <v>25</v>
      </c>
      <c r="I27" s="6">
        <v>50</v>
      </c>
      <c r="J27" s="6">
        <f>H27*I27</f>
        <v>1250</v>
      </c>
    </row>
    <row r="28" spans="2:10" ht="20.100000000000001" customHeight="1" x14ac:dyDescent="0.25">
      <c r="B28" s="4">
        <v>44904</v>
      </c>
      <c r="C28" s="8" t="str">
        <f>"Ord-12-22-"&amp;TEXT(ROW(C26),"000")</f>
        <v>Ord-12-22-026</v>
      </c>
      <c r="D28" s="6" t="s">
        <v>8</v>
      </c>
      <c r="E28" s="10" t="s">
        <v>31</v>
      </c>
      <c r="F28" s="10" t="s">
        <v>52</v>
      </c>
      <c r="G28" s="10" t="s">
        <v>67</v>
      </c>
      <c r="H28" s="10">
        <v>4000</v>
      </c>
      <c r="I28" s="6">
        <v>2</v>
      </c>
      <c r="J28" s="6">
        <f>H28*I28</f>
        <v>8000</v>
      </c>
    </row>
    <row r="29" spans="2:10" ht="20.100000000000001" customHeight="1" x14ac:dyDescent="0.25">
      <c r="B29" s="4">
        <v>44904</v>
      </c>
      <c r="C29" s="8" t="str">
        <f>"Ord-12-22-"&amp;TEXT(ROW(C27),"000")</f>
        <v>Ord-12-22-027</v>
      </c>
      <c r="D29" s="6" t="s">
        <v>13</v>
      </c>
      <c r="E29" s="10" t="s">
        <v>30</v>
      </c>
      <c r="F29" s="10" t="s">
        <v>90</v>
      </c>
      <c r="G29" s="10" t="s">
        <v>59</v>
      </c>
      <c r="H29" s="10">
        <v>4800</v>
      </c>
      <c r="I29" s="6">
        <v>1</v>
      </c>
      <c r="J29" s="6">
        <f>H29*I29</f>
        <v>4800</v>
      </c>
    </row>
    <row r="30" spans="2:10" ht="20.100000000000001" customHeight="1" x14ac:dyDescent="0.25">
      <c r="B30" s="4">
        <v>44904</v>
      </c>
      <c r="C30" s="8" t="str">
        <f>"Ord-12-22-"&amp;TEXT(ROW(C28),"000")</f>
        <v>Ord-12-22-028</v>
      </c>
      <c r="D30" s="6" t="s">
        <v>26</v>
      </c>
      <c r="E30" s="10" t="s">
        <v>27</v>
      </c>
      <c r="F30" s="10" t="s">
        <v>37</v>
      </c>
      <c r="G30" s="10" t="s">
        <v>54</v>
      </c>
      <c r="H30" s="10">
        <v>5000</v>
      </c>
      <c r="I30" s="6">
        <v>1</v>
      </c>
      <c r="J30" s="6">
        <f>H30*I30</f>
        <v>5000</v>
      </c>
    </row>
    <row r="31" spans="2:10" ht="20.100000000000001" customHeight="1" x14ac:dyDescent="0.25">
      <c r="B31" s="4">
        <v>44904</v>
      </c>
      <c r="C31" s="8" t="str">
        <f>"Ord-12-22-"&amp;TEXT(ROW(C29),"000")</f>
        <v>Ord-12-22-029</v>
      </c>
      <c r="D31" s="6" t="s">
        <v>23</v>
      </c>
      <c r="E31" s="10" t="s">
        <v>27</v>
      </c>
      <c r="F31" s="10" t="s">
        <v>41</v>
      </c>
      <c r="G31" s="10" t="s">
        <v>53</v>
      </c>
      <c r="H31" s="10">
        <v>3000</v>
      </c>
      <c r="I31" s="6">
        <v>2</v>
      </c>
      <c r="J31" s="6">
        <f>H31*I31</f>
        <v>6000</v>
      </c>
    </row>
    <row r="32" spans="2:10" ht="20.100000000000001" customHeight="1" x14ac:dyDescent="0.25">
      <c r="B32" s="4">
        <v>44905</v>
      </c>
      <c r="C32" s="8" t="str">
        <f>"Ord-12-22-"&amp;TEXT(ROW(C30),"000")</f>
        <v>Ord-12-22-030</v>
      </c>
      <c r="D32" s="6" t="s">
        <v>26</v>
      </c>
      <c r="E32" s="10" t="s">
        <v>35</v>
      </c>
      <c r="F32" s="10" t="s">
        <v>90</v>
      </c>
      <c r="G32" s="10" t="s">
        <v>71</v>
      </c>
      <c r="H32" s="10">
        <v>5500</v>
      </c>
      <c r="I32" s="6">
        <v>1</v>
      </c>
      <c r="J32" s="6">
        <f>H32*I32</f>
        <v>5500</v>
      </c>
    </row>
    <row r="33" spans="2:10" ht="20.100000000000001" customHeight="1" x14ac:dyDescent="0.25">
      <c r="B33" s="4">
        <v>44905</v>
      </c>
      <c r="C33" s="8" t="str">
        <f>"Ord-12-22-"&amp;TEXT(ROW(C31),"000")</f>
        <v>Ord-12-22-031</v>
      </c>
      <c r="D33" s="6" t="s">
        <v>12</v>
      </c>
      <c r="E33" s="10" t="s">
        <v>28</v>
      </c>
      <c r="F33" s="12" t="s">
        <v>28</v>
      </c>
      <c r="G33" s="10" t="s">
        <v>55</v>
      </c>
      <c r="H33" s="10">
        <v>750</v>
      </c>
      <c r="I33" s="7">
        <v>3</v>
      </c>
      <c r="J33" s="6">
        <f>H33*I33</f>
        <v>2250</v>
      </c>
    </row>
    <row r="34" spans="2:10" ht="20.100000000000001" customHeight="1" x14ac:dyDescent="0.25">
      <c r="B34" s="4">
        <v>44905</v>
      </c>
      <c r="C34" s="8" t="str">
        <f>"Ord-12-22-"&amp;TEXT(ROW(C32),"000")</f>
        <v>Ord-12-22-032</v>
      </c>
      <c r="D34" s="6" t="s">
        <v>22</v>
      </c>
      <c r="E34" s="10" t="s">
        <v>32</v>
      </c>
      <c r="F34" s="10" t="s">
        <v>51</v>
      </c>
      <c r="G34" s="10" t="s">
        <v>72</v>
      </c>
      <c r="H34" s="10">
        <v>2200</v>
      </c>
      <c r="I34" s="6">
        <v>1</v>
      </c>
      <c r="J34" s="6">
        <f>H34*I34</f>
        <v>2200</v>
      </c>
    </row>
    <row r="35" spans="2:10" ht="20.100000000000001" customHeight="1" x14ac:dyDescent="0.25">
      <c r="B35" s="4">
        <v>44905</v>
      </c>
      <c r="C35" s="8" t="str">
        <f>"Ord-12-22-"&amp;TEXT(ROW(C33),"000")</f>
        <v>Ord-12-22-033</v>
      </c>
      <c r="D35" s="6" t="s">
        <v>21</v>
      </c>
      <c r="E35" s="10" t="s">
        <v>27</v>
      </c>
      <c r="F35" s="10" t="s">
        <v>50</v>
      </c>
      <c r="G35" s="10" t="s">
        <v>53</v>
      </c>
      <c r="H35" s="10">
        <v>3500</v>
      </c>
      <c r="I35" s="6">
        <v>1</v>
      </c>
      <c r="J35" s="6">
        <f>H35*I35</f>
        <v>3500</v>
      </c>
    </row>
    <row r="36" spans="2:10" ht="20.100000000000001" customHeight="1" x14ac:dyDescent="0.25">
      <c r="B36" s="4">
        <v>44907</v>
      </c>
      <c r="C36" s="8" t="str">
        <f>"Ord-12-22-"&amp;TEXT(ROW(C34),"000")</f>
        <v>Ord-12-22-034</v>
      </c>
      <c r="D36" s="6" t="s">
        <v>20</v>
      </c>
      <c r="E36" s="10" t="s">
        <v>35</v>
      </c>
      <c r="F36" s="12" t="s">
        <v>90</v>
      </c>
      <c r="G36" s="10" t="s">
        <v>58</v>
      </c>
      <c r="H36" s="10">
        <v>7500</v>
      </c>
      <c r="I36" s="6">
        <v>2</v>
      </c>
      <c r="J36" s="6">
        <f>H36*I36</f>
        <v>15000</v>
      </c>
    </row>
    <row r="37" spans="2:10" ht="20.100000000000001" customHeight="1" x14ac:dyDescent="0.25">
      <c r="B37" s="4">
        <v>44907</v>
      </c>
      <c r="C37" s="8" t="str">
        <f>"Ord-12-22-"&amp;TEXT(ROW(C35),"000")</f>
        <v>Ord-12-22-035</v>
      </c>
      <c r="D37" s="6" t="s">
        <v>19</v>
      </c>
      <c r="E37" s="10" t="s">
        <v>28</v>
      </c>
      <c r="F37" s="12" t="s">
        <v>28</v>
      </c>
      <c r="G37" s="10" t="s">
        <v>58</v>
      </c>
      <c r="H37" s="10">
        <v>1000</v>
      </c>
      <c r="I37" s="6">
        <v>5</v>
      </c>
      <c r="J37" s="6">
        <f>H37*I37</f>
        <v>5000</v>
      </c>
    </row>
    <row r="38" spans="2:10" ht="20.100000000000001" customHeight="1" x14ac:dyDescent="0.25">
      <c r="B38" s="4">
        <v>44907</v>
      </c>
      <c r="C38" s="8" t="str">
        <f>"Ord-12-22-"&amp;TEXT(ROW(C36),"000")</f>
        <v>Ord-12-22-036</v>
      </c>
      <c r="D38" s="6" t="s">
        <v>26</v>
      </c>
      <c r="E38" s="10" t="s">
        <v>32</v>
      </c>
      <c r="F38" s="10" t="s">
        <v>44</v>
      </c>
      <c r="G38" s="10" t="s">
        <v>74</v>
      </c>
      <c r="H38" s="10">
        <v>1800</v>
      </c>
      <c r="I38" s="7">
        <v>1</v>
      </c>
      <c r="J38" s="6">
        <f>H38*I38</f>
        <v>1800</v>
      </c>
    </row>
    <row r="39" spans="2:10" ht="20.100000000000001" customHeight="1" x14ac:dyDescent="0.25">
      <c r="B39" s="4">
        <v>44907</v>
      </c>
      <c r="C39" s="8" t="str">
        <f>"Ord-12-22-"&amp;TEXT(ROW(C37),"000")</f>
        <v>Ord-12-22-037</v>
      </c>
      <c r="D39" s="6" t="s">
        <v>10</v>
      </c>
      <c r="E39" s="10" t="s">
        <v>31</v>
      </c>
      <c r="F39" s="10" t="s">
        <v>43</v>
      </c>
      <c r="G39" s="10" t="s">
        <v>61</v>
      </c>
      <c r="H39" s="10">
        <v>18000</v>
      </c>
      <c r="I39" s="6">
        <v>1</v>
      </c>
      <c r="J39" s="6">
        <f>H39*I39</f>
        <v>18000</v>
      </c>
    </row>
    <row r="40" spans="2:10" ht="20.100000000000001" customHeight="1" x14ac:dyDescent="0.25">
      <c r="B40" s="4">
        <v>44907</v>
      </c>
      <c r="C40" s="8" t="str">
        <f>"Ord-12-22-"&amp;TEXT(ROW(C38),"000")</f>
        <v>Ord-12-22-038</v>
      </c>
      <c r="D40" s="6" t="s">
        <v>25</v>
      </c>
      <c r="E40" s="10" t="s">
        <v>34</v>
      </c>
      <c r="F40" s="10" t="s">
        <v>49</v>
      </c>
      <c r="G40" s="10" t="s">
        <v>68</v>
      </c>
      <c r="H40" s="10">
        <v>4000</v>
      </c>
      <c r="I40" s="6">
        <v>2</v>
      </c>
      <c r="J40" s="6">
        <f>H40*I40</f>
        <v>8000</v>
      </c>
    </row>
    <row r="41" spans="2:10" ht="20.100000000000001" customHeight="1" x14ac:dyDescent="0.25">
      <c r="B41" s="4">
        <v>44908</v>
      </c>
      <c r="C41" s="8" t="str">
        <f>"Ord-12-22-"&amp;TEXT(ROW(C39),"000")</f>
        <v>Ord-12-22-039</v>
      </c>
      <c r="D41" s="6" t="s">
        <v>20</v>
      </c>
      <c r="E41" s="10" t="s">
        <v>31</v>
      </c>
      <c r="F41" s="10" t="s">
        <v>52</v>
      </c>
      <c r="G41" s="10" t="s">
        <v>76</v>
      </c>
      <c r="H41" s="10">
        <v>2800</v>
      </c>
      <c r="I41" s="6">
        <v>3</v>
      </c>
      <c r="J41" s="6">
        <f>H41*I41</f>
        <v>8400</v>
      </c>
    </row>
    <row r="42" spans="2:10" ht="20.100000000000001" customHeight="1" x14ac:dyDescent="0.25">
      <c r="B42" s="4">
        <v>44908</v>
      </c>
      <c r="C42" s="8" t="str">
        <f>"Ord-12-22-"&amp;TEXT(ROW(C40),"000")</f>
        <v>Ord-12-22-040</v>
      </c>
      <c r="D42" s="6" t="s">
        <v>7</v>
      </c>
      <c r="E42" s="10" t="s">
        <v>31</v>
      </c>
      <c r="F42" s="10" t="s">
        <v>52</v>
      </c>
      <c r="G42" s="10" t="s">
        <v>59</v>
      </c>
      <c r="H42" s="10">
        <v>3500</v>
      </c>
      <c r="I42" s="6">
        <v>2</v>
      </c>
      <c r="J42" s="6">
        <f>H42*I42</f>
        <v>7000</v>
      </c>
    </row>
    <row r="43" spans="2:10" ht="20.100000000000001" customHeight="1" x14ac:dyDescent="0.25">
      <c r="B43" s="4">
        <v>44908</v>
      </c>
      <c r="C43" s="8" t="str">
        <f>"Ord-12-22-"&amp;TEXT(ROW(C41),"000")</f>
        <v>Ord-12-22-041</v>
      </c>
      <c r="D43" s="6" t="s">
        <v>7</v>
      </c>
      <c r="E43" s="10" t="s">
        <v>27</v>
      </c>
      <c r="F43" s="10" t="s">
        <v>38</v>
      </c>
      <c r="G43" s="10" t="s">
        <v>53</v>
      </c>
      <c r="H43" s="10">
        <v>5500</v>
      </c>
      <c r="I43" s="6">
        <v>1</v>
      </c>
      <c r="J43" s="6">
        <f>H43*I43</f>
        <v>5500</v>
      </c>
    </row>
    <row r="44" spans="2:10" ht="20.100000000000001" customHeight="1" x14ac:dyDescent="0.25">
      <c r="B44" s="4">
        <v>44908</v>
      </c>
      <c r="C44" s="8" t="str">
        <f>"Ord-12-22-"&amp;TEXT(ROW(C42),"000")</f>
        <v>Ord-12-22-042</v>
      </c>
      <c r="D44" s="6" t="s">
        <v>17</v>
      </c>
      <c r="E44" s="10" t="s">
        <v>34</v>
      </c>
      <c r="F44" s="10" t="s">
        <v>49</v>
      </c>
      <c r="G44" s="10" t="s">
        <v>75</v>
      </c>
      <c r="H44" s="10">
        <v>4300</v>
      </c>
      <c r="I44" s="6">
        <v>2</v>
      </c>
      <c r="J44" s="6">
        <f>H44*I44</f>
        <v>8600</v>
      </c>
    </row>
    <row r="45" spans="2:10" ht="20.100000000000001" customHeight="1" x14ac:dyDescent="0.25">
      <c r="B45" s="4">
        <v>44908</v>
      </c>
      <c r="C45" s="8" t="str">
        <f>"Ord-12-22-"&amp;TEXT(ROW(C43),"000")</f>
        <v>Ord-12-22-043</v>
      </c>
      <c r="D45" s="6" t="s">
        <v>23</v>
      </c>
      <c r="E45" s="10" t="s">
        <v>34</v>
      </c>
      <c r="F45" s="10" t="s">
        <v>49</v>
      </c>
      <c r="G45" s="10" t="s">
        <v>75</v>
      </c>
      <c r="H45" s="10">
        <v>4300</v>
      </c>
      <c r="I45" s="6">
        <v>1</v>
      </c>
      <c r="J45" s="6">
        <f>H45*I45</f>
        <v>4300</v>
      </c>
    </row>
    <row r="46" spans="2:10" ht="20.100000000000001" customHeight="1" x14ac:dyDescent="0.25">
      <c r="B46" s="4">
        <v>44909</v>
      </c>
      <c r="C46" s="8" t="str">
        <f>"Ord-12-22-"&amp;TEXT(ROW(C44),"000")</f>
        <v>Ord-12-22-044</v>
      </c>
      <c r="D46" s="6" t="s">
        <v>21</v>
      </c>
      <c r="E46" s="10" t="s">
        <v>35</v>
      </c>
      <c r="F46" s="12" t="s">
        <v>90</v>
      </c>
      <c r="G46" s="10" t="s">
        <v>55</v>
      </c>
      <c r="H46" s="10">
        <v>5000</v>
      </c>
      <c r="I46" s="6">
        <v>2</v>
      </c>
      <c r="J46" s="6">
        <f>H46*I46</f>
        <v>10000</v>
      </c>
    </row>
    <row r="47" spans="2:10" ht="20.100000000000001" customHeight="1" x14ac:dyDescent="0.25">
      <c r="B47" s="4">
        <v>44909</v>
      </c>
      <c r="C47" s="8" t="str">
        <f>"Ord-12-22-"&amp;TEXT(ROW(C45),"000")</f>
        <v>Ord-12-22-045</v>
      </c>
      <c r="D47" s="6" t="s">
        <v>14</v>
      </c>
      <c r="E47" s="10" t="s">
        <v>35</v>
      </c>
      <c r="F47" s="12" t="s">
        <v>90</v>
      </c>
      <c r="G47" s="10" t="s">
        <v>71</v>
      </c>
      <c r="H47" s="10">
        <v>5500</v>
      </c>
      <c r="I47" s="6">
        <v>1</v>
      </c>
      <c r="J47" s="6">
        <f>H47*I47</f>
        <v>5500</v>
      </c>
    </row>
    <row r="48" spans="2:10" ht="20.100000000000001" customHeight="1" x14ac:dyDescent="0.25">
      <c r="B48" s="4">
        <v>44909</v>
      </c>
      <c r="C48" s="8" t="str">
        <f>"Ord-12-22-"&amp;TEXT(ROW(C46),"000")</f>
        <v>Ord-12-22-046</v>
      </c>
      <c r="D48" s="6" t="s">
        <v>13</v>
      </c>
      <c r="E48" s="10" t="s">
        <v>35</v>
      </c>
      <c r="F48" s="12" t="s">
        <v>90</v>
      </c>
      <c r="G48" s="10" t="s">
        <v>77</v>
      </c>
      <c r="H48" s="10">
        <v>8500</v>
      </c>
      <c r="I48" s="6">
        <v>1</v>
      </c>
      <c r="J48" s="6">
        <f>H48*I48</f>
        <v>8500</v>
      </c>
    </row>
    <row r="49" spans="2:10" ht="20.100000000000001" customHeight="1" x14ac:dyDescent="0.25">
      <c r="B49" s="4">
        <v>44909</v>
      </c>
      <c r="C49" s="8" t="str">
        <f>"Ord-12-22-"&amp;TEXT(ROW(C47),"000")</f>
        <v>Ord-12-22-047</v>
      </c>
      <c r="D49" s="6" t="s">
        <v>11</v>
      </c>
      <c r="E49" s="10" t="s">
        <v>31</v>
      </c>
      <c r="F49" s="10" t="s">
        <v>52</v>
      </c>
      <c r="G49" s="10" t="s">
        <v>66</v>
      </c>
      <c r="H49" s="10">
        <v>3200</v>
      </c>
      <c r="I49" s="6">
        <v>3</v>
      </c>
      <c r="J49" s="6">
        <f>H49*I49</f>
        <v>9600</v>
      </c>
    </row>
    <row r="50" spans="2:10" ht="20.100000000000001" customHeight="1" x14ac:dyDescent="0.25">
      <c r="B50" s="4">
        <v>44909</v>
      </c>
      <c r="C50" s="8" t="str">
        <f>"Ord-12-22-"&amp;TEXT(ROW(C48),"000")</f>
        <v>Ord-12-22-048</v>
      </c>
      <c r="D50" s="6" t="s">
        <v>23</v>
      </c>
      <c r="E50" s="10" t="s">
        <v>31</v>
      </c>
      <c r="F50" s="10" t="s">
        <v>48</v>
      </c>
      <c r="G50" s="10" t="s">
        <v>63</v>
      </c>
      <c r="H50" s="13">
        <v>3000</v>
      </c>
      <c r="I50" s="6">
        <v>2</v>
      </c>
      <c r="J50" s="6">
        <f>H50*I50</f>
        <v>6000</v>
      </c>
    </row>
    <row r="51" spans="2:10" ht="20.100000000000001" customHeight="1" x14ac:dyDescent="0.25">
      <c r="B51" s="4">
        <v>44910</v>
      </c>
      <c r="C51" s="8" t="str">
        <f>"Ord-12-22-"&amp;TEXT(ROW(C49),"000")</f>
        <v>Ord-12-22-049</v>
      </c>
      <c r="D51" s="6" t="s">
        <v>16</v>
      </c>
      <c r="E51" s="10" t="s">
        <v>28</v>
      </c>
      <c r="F51" s="10" t="s">
        <v>28</v>
      </c>
      <c r="G51" s="10" t="s">
        <v>55</v>
      </c>
      <c r="H51" s="10">
        <v>750</v>
      </c>
      <c r="I51" s="6">
        <v>3</v>
      </c>
      <c r="J51" s="6">
        <f>H51*I51</f>
        <v>2250</v>
      </c>
    </row>
    <row r="52" spans="2:10" ht="20.100000000000001" customHeight="1" x14ac:dyDescent="0.25">
      <c r="B52" s="4">
        <v>44910</v>
      </c>
      <c r="C52" s="8" t="str">
        <f>"Ord-12-22-"&amp;TEXT(ROW(C50),"000")</f>
        <v>Ord-12-22-050</v>
      </c>
      <c r="D52" s="6" t="s">
        <v>8</v>
      </c>
      <c r="E52" s="10" t="s">
        <v>33</v>
      </c>
      <c r="F52" s="10" t="s">
        <v>47</v>
      </c>
      <c r="G52" s="10" t="s">
        <v>65</v>
      </c>
      <c r="H52" s="10">
        <v>25</v>
      </c>
      <c r="I52" s="6">
        <v>150</v>
      </c>
      <c r="J52" s="6">
        <f>H52*I52</f>
        <v>3750</v>
      </c>
    </row>
    <row r="53" spans="2:10" ht="20.100000000000001" customHeight="1" x14ac:dyDescent="0.25">
      <c r="B53" s="4">
        <v>44910</v>
      </c>
      <c r="C53" s="8" t="str">
        <f>"Ord-12-22-"&amp;TEXT(ROW(C51),"000")</f>
        <v>Ord-12-22-051</v>
      </c>
      <c r="D53" s="6" t="s">
        <v>19</v>
      </c>
      <c r="E53" s="10" t="s">
        <v>29</v>
      </c>
      <c r="F53" s="10" t="s">
        <v>39</v>
      </c>
      <c r="G53" s="10" t="s">
        <v>56</v>
      </c>
      <c r="H53" s="10">
        <v>2500</v>
      </c>
      <c r="I53" s="6">
        <v>1</v>
      </c>
      <c r="J53" s="6">
        <f>H53*I53</f>
        <v>2500</v>
      </c>
    </row>
    <row r="54" spans="2:10" ht="20.100000000000001" customHeight="1" x14ac:dyDescent="0.25">
      <c r="B54" s="4">
        <v>44910</v>
      </c>
      <c r="C54" s="8" t="str">
        <f>"Ord-12-22-"&amp;TEXT(ROW(C52),"000")</f>
        <v>Ord-12-22-052</v>
      </c>
      <c r="D54" s="6" t="s">
        <v>19</v>
      </c>
      <c r="E54" s="10" t="s">
        <v>27</v>
      </c>
      <c r="F54" s="10" t="s">
        <v>37</v>
      </c>
      <c r="G54" s="10" t="s">
        <v>53</v>
      </c>
      <c r="H54" s="10">
        <v>5200</v>
      </c>
      <c r="I54" s="6">
        <v>1</v>
      </c>
      <c r="J54" s="6">
        <f>H54*I54</f>
        <v>5200</v>
      </c>
    </row>
    <row r="55" spans="2:10" ht="20.100000000000001" customHeight="1" x14ac:dyDescent="0.25">
      <c r="B55" s="4">
        <v>44910</v>
      </c>
      <c r="C55" s="8" t="str">
        <f>"Ord-12-22-"&amp;TEXT(ROW(C53),"000")</f>
        <v>Ord-12-22-053</v>
      </c>
      <c r="D55" s="6" t="s">
        <v>21</v>
      </c>
      <c r="E55" s="10" t="s">
        <v>34</v>
      </c>
      <c r="F55" s="10" t="s">
        <v>49</v>
      </c>
      <c r="G55" s="10" t="s">
        <v>75</v>
      </c>
      <c r="H55" s="10">
        <v>4300</v>
      </c>
      <c r="I55" s="6">
        <v>2</v>
      </c>
      <c r="J55" s="6">
        <f>H55*I55</f>
        <v>8600</v>
      </c>
    </row>
    <row r="56" spans="2:10" ht="20.100000000000001" customHeight="1" x14ac:dyDescent="0.25">
      <c r="B56" s="4">
        <v>44911</v>
      </c>
      <c r="C56" s="8" t="str">
        <f>"Ord-12-22-"&amp;TEXT(ROW(C54),"000")</f>
        <v>Ord-12-22-054</v>
      </c>
      <c r="D56" s="6" t="s">
        <v>11</v>
      </c>
      <c r="E56" s="10" t="s">
        <v>33</v>
      </c>
      <c r="F56" s="10" t="s">
        <v>46</v>
      </c>
      <c r="G56" s="10" t="s">
        <v>65</v>
      </c>
      <c r="H56" s="10">
        <v>15</v>
      </c>
      <c r="I56" s="6">
        <v>300</v>
      </c>
      <c r="J56" s="6">
        <f>H56*I56</f>
        <v>4500</v>
      </c>
    </row>
    <row r="57" spans="2:10" ht="20.100000000000001" customHeight="1" x14ac:dyDescent="0.25">
      <c r="B57" s="4">
        <v>44911</v>
      </c>
      <c r="C57" s="8" t="str">
        <f>"Ord-12-22-"&amp;TEXT(ROW(C55),"000")</f>
        <v>Ord-12-22-055</v>
      </c>
      <c r="D57" s="6" t="s">
        <v>10</v>
      </c>
      <c r="E57" s="10" t="s">
        <v>31</v>
      </c>
      <c r="F57" s="10" t="s">
        <v>43</v>
      </c>
      <c r="G57" s="10" t="s">
        <v>63</v>
      </c>
      <c r="H57" s="10">
        <v>4200</v>
      </c>
      <c r="I57" s="6">
        <v>1</v>
      </c>
      <c r="J57" s="6">
        <f>H57*I57</f>
        <v>4200</v>
      </c>
    </row>
    <row r="58" spans="2:10" ht="20.100000000000001" customHeight="1" x14ac:dyDescent="0.25">
      <c r="B58" s="4">
        <v>44911</v>
      </c>
      <c r="C58" s="8" t="str">
        <f>"Ord-12-22-"&amp;TEXT(ROW(C56),"000")</f>
        <v>Ord-12-22-056</v>
      </c>
      <c r="D58" s="6" t="s">
        <v>14</v>
      </c>
      <c r="E58" s="10" t="s">
        <v>31</v>
      </c>
      <c r="F58" s="10" t="s">
        <v>45</v>
      </c>
      <c r="G58" s="10" t="s">
        <v>67</v>
      </c>
      <c r="H58" s="10">
        <v>8500</v>
      </c>
      <c r="I58" s="6">
        <v>1</v>
      </c>
      <c r="J58" s="6">
        <f>H58*I58</f>
        <v>8500</v>
      </c>
    </row>
    <row r="59" spans="2:10" ht="20.100000000000001" customHeight="1" x14ac:dyDescent="0.25">
      <c r="B59" s="4">
        <v>44911</v>
      </c>
      <c r="C59" s="8" t="str">
        <f>"Ord-12-22-"&amp;TEXT(ROW(C57),"000")</f>
        <v>Ord-12-22-057</v>
      </c>
      <c r="D59" s="6" t="s">
        <v>24</v>
      </c>
      <c r="E59" s="10" t="s">
        <v>36</v>
      </c>
      <c r="F59" s="10" t="s">
        <v>36</v>
      </c>
      <c r="G59" s="10" t="s">
        <v>78</v>
      </c>
      <c r="H59" s="10">
        <v>2500</v>
      </c>
      <c r="I59" s="6">
        <v>2</v>
      </c>
      <c r="J59" s="6">
        <f>H59*I59</f>
        <v>5000</v>
      </c>
    </row>
    <row r="60" spans="2:10" ht="20.100000000000001" customHeight="1" x14ac:dyDescent="0.25">
      <c r="B60" s="4">
        <v>44911</v>
      </c>
      <c r="C60" s="8" t="str">
        <f>"Ord-12-22-"&amp;TEXT(ROW(C58),"000")</f>
        <v>Ord-12-22-058</v>
      </c>
      <c r="D60" s="6" t="s">
        <v>18</v>
      </c>
      <c r="E60" s="10" t="s">
        <v>27</v>
      </c>
      <c r="F60" s="10" t="s">
        <v>41</v>
      </c>
      <c r="G60" s="10" t="s">
        <v>53</v>
      </c>
      <c r="H60" s="10">
        <v>3000</v>
      </c>
      <c r="I60" s="6">
        <v>1</v>
      </c>
      <c r="J60" s="6">
        <f>H60*I60</f>
        <v>3000</v>
      </c>
    </row>
    <row r="61" spans="2:10" ht="20.100000000000001" customHeight="1" x14ac:dyDescent="0.25">
      <c r="B61" s="4">
        <v>44912</v>
      </c>
      <c r="C61" s="8" t="str">
        <f>"Ord-12-22-"&amp;TEXT(ROW(C59),"000")</f>
        <v>Ord-12-22-059</v>
      </c>
      <c r="D61" s="6" t="s">
        <v>8</v>
      </c>
      <c r="E61" s="10" t="s">
        <v>35</v>
      </c>
      <c r="F61" s="12" t="s">
        <v>90</v>
      </c>
      <c r="G61" s="10" t="s">
        <v>79</v>
      </c>
      <c r="H61" s="10">
        <v>4800</v>
      </c>
      <c r="I61" s="6">
        <v>2</v>
      </c>
      <c r="J61" s="6">
        <f>H61*I61</f>
        <v>9600</v>
      </c>
    </row>
    <row r="62" spans="2:10" ht="20.100000000000001" customHeight="1" x14ac:dyDescent="0.25">
      <c r="B62" s="4">
        <v>44912</v>
      </c>
      <c r="C62" s="8" t="str">
        <f>"Ord-12-22-"&amp;TEXT(ROW(C60),"000")</f>
        <v>Ord-12-22-060</v>
      </c>
      <c r="D62" s="6" t="s">
        <v>9</v>
      </c>
      <c r="E62" s="10" t="s">
        <v>28</v>
      </c>
      <c r="F62" s="10" t="s">
        <v>28</v>
      </c>
      <c r="G62" s="10" t="s">
        <v>77</v>
      </c>
      <c r="H62" s="10">
        <v>1200</v>
      </c>
      <c r="I62" s="6">
        <v>4</v>
      </c>
      <c r="J62" s="6">
        <f>H62*I62</f>
        <v>4800</v>
      </c>
    </row>
    <row r="63" spans="2:10" ht="20.100000000000001" customHeight="1" x14ac:dyDescent="0.25">
      <c r="B63" s="4">
        <v>44912</v>
      </c>
      <c r="C63" s="8" t="str">
        <f>"Ord-12-22-"&amp;TEXT(ROW(C61),"000")</f>
        <v>Ord-12-22-061</v>
      </c>
      <c r="D63" s="6" t="s">
        <v>22</v>
      </c>
      <c r="E63" s="10" t="s">
        <v>33</v>
      </c>
      <c r="F63" s="10" t="s">
        <v>46</v>
      </c>
      <c r="G63" s="10" t="s">
        <v>65</v>
      </c>
      <c r="H63" s="10">
        <v>15</v>
      </c>
      <c r="I63" s="6">
        <v>320</v>
      </c>
      <c r="J63" s="6">
        <f>H63*I63</f>
        <v>4800</v>
      </c>
    </row>
    <row r="64" spans="2:10" ht="20.100000000000001" customHeight="1" x14ac:dyDescent="0.25">
      <c r="B64" s="4">
        <v>44912</v>
      </c>
      <c r="C64" s="8" t="str">
        <f>"Ord-12-22-"&amp;TEXT(ROW(C62),"000")</f>
        <v>Ord-12-22-062</v>
      </c>
      <c r="D64" s="6" t="s">
        <v>23</v>
      </c>
      <c r="E64" s="10" t="s">
        <v>27</v>
      </c>
      <c r="F64" s="10" t="s">
        <v>50</v>
      </c>
      <c r="G64" s="10" t="s">
        <v>54</v>
      </c>
      <c r="H64" s="10">
        <v>3200</v>
      </c>
      <c r="I64" s="7">
        <v>4</v>
      </c>
      <c r="J64" s="6">
        <f>H64*I64</f>
        <v>12800</v>
      </c>
    </row>
    <row r="65" spans="2:10" ht="20.100000000000001" customHeight="1" x14ac:dyDescent="0.25">
      <c r="B65" s="4">
        <v>44912</v>
      </c>
      <c r="C65" s="8" t="str">
        <f>"Ord-12-22-"&amp;TEXT(ROW(C63),"000")</f>
        <v>Ord-12-22-063</v>
      </c>
      <c r="D65" s="6" t="s">
        <v>19</v>
      </c>
      <c r="E65" s="10" t="s">
        <v>34</v>
      </c>
      <c r="F65" s="10" t="s">
        <v>49</v>
      </c>
      <c r="G65" s="10" t="s">
        <v>75</v>
      </c>
      <c r="H65" s="10">
        <v>4300</v>
      </c>
      <c r="I65" s="6">
        <v>2</v>
      </c>
      <c r="J65" s="6">
        <f>H65*I65</f>
        <v>8600</v>
      </c>
    </row>
    <row r="66" spans="2:10" ht="20.100000000000001" customHeight="1" x14ac:dyDescent="0.25">
      <c r="B66" s="4">
        <v>44914</v>
      </c>
      <c r="C66" s="8" t="str">
        <f>"Ord-12-22-"&amp;TEXT(ROW(C64),"000")</f>
        <v>Ord-12-22-064</v>
      </c>
      <c r="D66" s="6" t="s">
        <v>10</v>
      </c>
      <c r="E66" s="10" t="s">
        <v>28</v>
      </c>
      <c r="F66" s="10" t="s">
        <v>28</v>
      </c>
      <c r="G66" s="10" t="s">
        <v>71</v>
      </c>
      <c r="H66" s="10">
        <v>850</v>
      </c>
      <c r="I66" s="6">
        <v>5</v>
      </c>
      <c r="J66" s="6">
        <f>H66*I66</f>
        <v>4250</v>
      </c>
    </row>
    <row r="67" spans="2:10" ht="20.100000000000001" customHeight="1" x14ac:dyDescent="0.25">
      <c r="B67" s="4">
        <v>44914</v>
      </c>
      <c r="C67" s="8" t="str">
        <f>"Ord-12-22-"&amp;TEXT(ROW(C65),"000")</f>
        <v>Ord-12-22-065</v>
      </c>
      <c r="D67" s="6" t="s">
        <v>12</v>
      </c>
      <c r="E67" s="10" t="s">
        <v>31</v>
      </c>
      <c r="F67" s="10" t="s">
        <v>52</v>
      </c>
      <c r="G67" s="10" t="s">
        <v>67</v>
      </c>
      <c r="H67" s="10">
        <v>4000</v>
      </c>
      <c r="I67" s="6">
        <v>1</v>
      </c>
      <c r="J67" s="6">
        <f>H67*I67</f>
        <v>4000</v>
      </c>
    </row>
    <row r="68" spans="2:10" ht="20.100000000000001" customHeight="1" x14ac:dyDescent="0.25">
      <c r="B68" s="4">
        <v>44914</v>
      </c>
      <c r="C68" s="8" t="str">
        <f>"Ord-12-22-"&amp;TEXT(ROW(C66),"000")</f>
        <v>Ord-12-22-066</v>
      </c>
      <c r="D68" s="6" t="s">
        <v>14</v>
      </c>
      <c r="E68" s="10" t="s">
        <v>36</v>
      </c>
      <c r="F68" s="10" t="s">
        <v>36</v>
      </c>
      <c r="G68" s="10" t="s">
        <v>78</v>
      </c>
      <c r="H68" s="10">
        <v>2500</v>
      </c>
      <c r="I68" s="6">
        <v>3</v>
      </c>
      <c r="J68" s="6">
        <f>H68*I68</f>
        <v>7500</v>
      </c>
    </row>
    <row r="69" spans="2:10" ht="20.100000000000001" customHeight="1" x14ac:dyDescent="0.25">
      <c r="B69" s="4">
        <v>44915</v>
      </c>
      <c r="C69" s="8" t="str">
        <f>"Ord-12-22-"&amp;TEXT(ROW(C67),"000")</f>
        <v>Ord-12-22-067</v>
      </c>
      <c r="D69" s="6" t="s">
        <v>24</v>
      </c>
      <c r="E69" s="10" t="s">
        <v>35</v>
      </c>
      <c r="F69" s="12" t="s">
        <v>90</v>
      </c>
      <c r="G69" s="10" t="s">
        <v>55</v>
      </c>
      <c r="H69" s="10">
        <v>5000</v>
      </c>
      <c r="I69" s="6">
        <v>2</v>
      </c>
      <c r="J69" s="6">
        <f>H69*I69</f>
        <v>10000</v>
      </c>
    </row>
    <row r="70" spans="2:10" ht="20.100000000000001" customHeight="1" x14ac:dyDescent="0.25">
      <c r="B70" s="4">
        <v>44915</v>
      </c>
      <c r="C70" s="8" t="str">
        <f>"Ord-12-22-"&amp;TEXT(ROW(C68),"000")</f>
        <v>Ord-12-22-068</v>
      </c>
      <c r="D70" s="6" t="s">
        <v>18</v>
      </c>
      <c r="E70" s="10" t="s">
        <v>32</v>
      </c>
      <c r="F70" s="10" t="s">
        <v>44</v>
      </c>
      <c r="G70" s="10" t="s">
        <v>62</v>
      </c>
      <c r="H70" s="10">
        <v>1200</v>
      </c>
      <c r="I70" s="6">
        <v>2</v>
      </c>
      <c r="J70" s="6">
        <f>H70*I70</f>
        <v>2400</v>
      </c>
    </row>
    <row r="71" spans="2:10" ht="20.100000000000001" customHeight="1" x14ac:dyDescent="0.25">
      <c r="B71" s="4">
        <v>44915</v>
      </c>
      <c r="C71" s="8" t="str">
        <f>"Ord-12-22-"&amp;TEXT(ROW(C69),"000")</f>
        <v>Ord-12-22-069</v>
      </c>
      <c r="D71" s="6" t="s">
        <v>16</v>
      </c>
      <c r="E71" s="10" t="s">
        <v>32</v>
      </c>
      <c r="F71" s="10" t="s">
        <v>51</v>
      </c>
      <c r="G71" s="10" t="s">
        <v>81</v>
      </c>
      <c r="H71" s="10">
        <v>3000</v>
      </c>
      <c r="I71" s="6">
        <v>1</v>
      </c>
      <c r="J71" s="6">
        <f>H71*I71</f>
        <v>3000</v>
      </c>
    </row>
    <row r="72" spans="2:10" ht="20.100000000000001" customHeight="1" x14ac:dyDescent="0.25">
      <c r="B72" s="4">
        <v>44915</v>
      </c>
      <c r="C72" s="8" t="str">
        <f>"Ord-12-22-"&amp;TEXT(ROW(C70),"000")</f>
        <v>Ord-12-22-070</v>
      </c>
      <c r="D72" s="6" t="s">
        <v>23</v>
      </c>
      <c r="E72" s="10" t="s">
        <v>32</v>
      </c>
      <c r="F72" s="10" t="s">
        <v>51</v>
      </c>
      <c r="G72" s="10" t="s">
        <v>81</v>
      </c>
      <c r="H72" s="10">
        <v>3000</v>
      </c>
      <c r="I72" s="6">
        <v>3</v>
      </c>
      <c r="J72" s="6">
        <f>H72*I72</f>
        <v>9000</v>
      </c>
    </row>
    <row r="73" spans="2:10" ht="20.100000000000001" customHeight="1" x14ac:dyDescent="0.25">
      <c r="B73" s="4">
        <v>44915</v>
      </c>
      <c r="C73" s="8" t="str">
        <f>"Ord-12-22-"&amp;TEXT(ROW(C71),"000")</f>
        <v>Ord-12-22-071</v>
      </c>
      <c r="D73" s="6" t="s">
        <v>16</v>
      </c>
      <c r="E73" s="10" t="s">
        <v>31</v>
      </c>
      <c r="F73" s="10" t="s">
        <v>43</v>
      </c>
      <c r="G73" s="10" t="s">
        <v>76</v>
      </c>
      <c r="H73" s="10">
        <v>4800</v>
      </c>
      <c r="I73" s="6">
        <v>1</v>
      </c>
      <c r="J73" s="6">
        <f>H73*I73</f>
        <v>4800</v>
      </c>
    </row>
    <row r="74" spans="2:10" ht="20.100000000000001" customHeight="1" x14ac:dyDescent="0.25">
      <c r="B74" s="4">
        <v>44915</v>
      </c>
      <c r="C74" s="8" t="str">
        <f>"Ord-12-22-"&amp;TEXT(ROW(C72),"000")</f>
        <v>Ord-12-22-072</v>
      </c>
      <c r="D74" s="6" t="s">
        <v>11</v>
      </c>
      <c r="E74" s="10" t="s">
        <v>31</v>
      </c>
      <c r="F74" s="10" t="s">
        <v>43</v>
      </c>
      <c r="G74" s="10" t="s">
        <v>69</v>
      </c>
      <c r="H74" s="10">
        <v>4900</v>
      </c>
      <c r="I74" s="6">
        <v>2</v>
      </c>
      <c r="J74" s="6">
        <f>H74*I74</f>
        <v>9800</v>
      </c>
    </row>
    <row r="75" spans="2:10" ht="20.100000000000001" customHeight="1" x14ac:dyDescent="0.25">
      <c r="B75" s="4">
        <v>44915</v>
      </c>
      <c r="C75" s="8" t="str">
        <f>"Ord-12-22-"&amp;TEXT(ROW(C73),"000")</f>
        <v>Ord-12-22-073</v>
      </c>
      <c r="D75" s="6" t="s">
        <v>12</v>
      </c>
      <c r="E75" s="10" t="s">
        <v>27</v>
      </c>
      <c r="F75" s="10" t="s">
        <v>37</v>
      </c>
      <c r="G75" s="10" t="s">
        <v>54</v>
      </c>
      <c r="H75" s="10">
        <v>5000</v>
      </c>
      <c r="I75" s="6">
        <v>2</v>
      </c>
      <c r="J75" s="6">
        <f>H75*I75</f>
        <v>10000</v>
      </c>
    </row>
    <row r="76" spans="2:10" ht="20.100000000000001" customHeight="1" x14ac:dyDescent="0.25">
      <c r="B76" s="4">
        <v>44916</v>
      </c>
      <c r="C76" s="8" t="str">
        <f>"Ord-12-22-"&amp;TEXT(ROW(C74),"000")</f>
        <v>Ord-12-22-074</v>
      </c>
      <c r="D76" s="6" t="s">
        <v>12</v>
      </c>
      <c r="E76" s="10" t="s">
        <v>32</v>
      </c>
      <c r="F76" s="10" t="s">
        <v>44</v>
      </c>
      <c r="G76" s="10" t="s">
        <v>72</v>
      </c>
      <c r="H76" s="10">
        <v>2200</v>
      </c>
      <c r="I76" s="6">
        <v>5</v>
      </c>
      <c r="J76" s="6">
        <f>H76*I76</f>
        <v>11000</v>
      </c>
    </row>
    <row r="77" spans="2:10" ht="20.100000000000001" customHeight="1" x14ac:dyDescent="0.25">
      <c r="B77" s="4">
        <v>44917</v>
      </c>
      <c r="C77" s="8" t="str">
        <f>"Ord-12-22-"&amp;TEXT(ROW(C75),"000")</f>
        <v>Ord-12-22-075</v>
      </c>
      <c r="D77" s="6" t="s">
        <v>23</v>
      </c>
      <c r="E77" s="10" t="s">
        <v>32</v>
      </c>
      <c r="F77" s="10" t="s">
        <v>44</v>
      </c>
      <c r="G77" s="10" t="s">
        <v>62</v>
      </c>
      <c r="H77" s="10">
        <v>1200</v>
      </c>
      <c r="I77" s="6">
        <v>5</v>
      </c>
      <c r="J77" s="6">
        <f>H77*I77</f>
        <v>6000</v>
      </c>
    </row>
    <row r="78" spans="2:10" ht="20.100000000000001" customHeight="1" x14ac:dyDescent="0.25">
      <c r="B78" s="4">
        <v>44917</v>
      </c>
      <c r="C78" s="8" t="str">
        <f>"Ord-12-22-"&amp;TEXT(ROW(C76),"000")</f>
        <v>Ord-12-22-076</v>
      </c>
      <c r="D78" s="6" t="s">
        <v>9</v>
      </c>
      <c r="E78" s="10" t="s">
        <v>33</v>
      </c>
      <c r="F78" s="10" t="s">
        <v>46</v>
      </c>
      <c r="G78" s="10" t="s">
        <v>65</v>
      </c>
      <c r="H78" s="10">
        <v>15</v>
      </c>
      <c r="I78" s="6">
        <v>500</v>
      </c>
      <c r="J78" s="6">
        <f>H78*I78</f>
        <v>7500</v>
      </c>
    </row>
    <row r="79" spans="2:10" ht="20.100000000000001" customHeight="1" x14ac:dyDescent="0.25">
      <c r="B79" s="4">
        <v>44918</v>
      </c>
      <c r="C79" s="8" t="str">
        <f>"Ord-12-22-"&amp;TEXT(ROW(C77),"000")</f>
        <v>Ord-12-22-077</v>
      </c>
      <c r="D79" s="6" t="s">
        <v>22</v>
      </c>
      <c r="E79" s="10" t="s">
        <v>31</v>
      </c>
      <c r="F79" s="10" t="s">
        <v>45</v>
      </c>
      <c r="G79" s="10" t="s">
        <v>63</v>
      </c>
      <c r="H79" s="10">
        <v>1800</v>
      </c>
      <c r="I79" s="6">
        <v>5</v>
      </c>
      <c r="J79" s="6">
        <f>H79*I79</f>
        <v>9000</v>
      </c>
    </row>
    <row r="80" spans="2:10" ht="20.100000000000001" customHeight="1" x14ac:dyDescent="0.25">
      <c r="B80" s="4">
        <v>44918</v>
      </c>
      <c r="C80" s="8" t="str">
        <f>"Ord-12-22-"&amp;TEXT(ROW(C78),"000")</f>
        <v>Ord-12-22-078</v>
      </c>
      <c r="D80" s="6" t="s">
        <v>7</v>
      </c>
      <c r="E80" s="10" t="s">
        <v>31</v>
      </c>
      <c r="F80" s="10" t="s">
        <v>48</v>
      </c>
      <c r="G80" s="10" t="s">
        <v>82</v>
      </c>
      <c r="H80" s="10">
        <v>8500</v>
      </c>
      <c r="I80" s="6">
        <v>4</v>
      </c>
      <c r="J80" s="6">
        <f>H80*I80</f>
        <v>34000</v>
      </c>
    </row>
    <row r="81" spans="2:10" ht="20.100000000000001" customHeight="1" x14ac:dyDescent="0.25">
      <c r="B81" s="4">
        <v>44918</v>
      </c>
      <c r="C81" s="8" t="str">
        <f>"Ord-12-22-"&amp;TEXT(ROW(C79),"000")</f>
        <v>Ord-12-22-079</v>
      </c>
      <c r="D81" s="6" t="s">
        <v>13</v>
      </c>
      <c r="E81" s="10" t="s">
        <v>27</v>
      </c>
      <c r="F81" s="10" t="s">
        <v>42</v>
      </c>
      <c r="G81" s="10" t="s">
        <v>27</v>
      </c>
      <c r="H81" s="10">
        <v>2500</v>
      </c>
      <c r="I81" s="6">
        <v>2</v>
      </c>
      <c r="J81" s="6">
        <f>H81*I81</f>
        <v>5000</v>
      </c>
    </row>
    <row r="82" spans="2:10" ht="20.100000000000001" customHeight="1" x14ac:dyDescent="0.25">
      <c r="B82" s="4">
        <v>44918</v>
      </c>
      <c r="C82" s="8" t="str">
        <f>"Ord-12-22-"&amp;TEXT(ROW(C80),"000")</f>
        <v>Ord-12-22-080</v>
      </c>
      <c r="D82" s="6" t="s">
        <v>9</v>
      </c>
      <c r="E82" s="10" t="s">
        <v>27</v>
      </c>
      <c r="F82" s="10" t="s">
        <v>42</v>
      </c>
      <c r="G82" s="10" t="s">
        <v>27</v>
      </c>
      <c r="H82" s="10">
        <v>2500</v>
      </c>
      <c r="I82" s="6">
        <v>2</v>
      </c>
      <c r="J82" s="6">
        <f>H82*I82</f>
        <v>5000</v>
      </c>
    </row>
    <row r="83" spans="2:10" ht="20.100000000000001" customHeight="1" x14ac:dyDescent="0.25">
      <c r="B83" s="4">
        <v>44918</v>
      </c>
      <c r="C83" s="8" t="str">
        <f>"Ord-12-22-"&amp;TEXT(ROW(C81),"000")</f>
        <v>Ord-12-22-081</v>
      </c>
      <c r="D83" s="6" t="s">
        <v>10</v>
      </c>
      <c r="E83" s="10" t="s">
        <v>34</v>
      </c>
      <c r="F83" s="10" t="s">
        <v>49</v>
      </c>
      <c r="G83" s="10" t="s">
        <v>75</v>
      </c>
      <c r="H83" s="10">
        <v>4300</v>
      </c>
      <c r="I83" s="6">
        <v>4</v>
      </c>
      <c r="J83" s="6">
        <f>H83*I83</f>
        <v>17200</v>
      </c>
    </row>
    <row r="84" spans="2:10" ht="20.100000000000001" customHeight="1" x14ac:dyDescent="0.25">
      <c r="B84" s="4">
        <v>44919</v>
      </c>
      <c r="C84" s="8" t="str">
        <f>"Ord-12-22-"&amp;TEXT(ROW(C82),"000")</f>
        <v>Ord-12-22-082</v>
      </c>
      <c r="D84" s="6" t="s">
        <v>8</v>
      </c>
      <c r="E84" s="10" t="s">
        <v>32</v>
      </c>
      <c r="F84" s="10" t="s">
        <v>51</v>
      </c>
      <c r="G84" s="10" t="s">
        <v>83</v>
      </c>
      <c r="H84" s="10">
        <v>4000</v>
      </c>
      <c r="I84" s="6">
        <v>2</v>
      </c>
      <c r="J84" s="6">
        <f>H84*I84</f>
        <v>8000</v>
      </c>
    </row>
    <row r="85" spans="2:10" ht="20.100000000000001" customHeight="1" x14ac:dyDescent="0.25">
      <c r="B85" s="4">
        <v>44919</v>
      </c>
      <c r="C85" s="8" t="str">
        <f>"Ord-12-22-"&amp;TEXT(ROW(C83),"000")</f>
        <v>Ord-12-22-083</v>
      </c>
      <c r="D85" s="6" t="s">
        <v>19</v>
      </c>
      <c r="E85" s="10" t="s">
        <v>31</v>
      </c>
      <c r="F85" s="10" t="s">
        <v>43</v>
      </c>
      <c r="G85" s="10" t="s">
        <v>67</v>
      </c>
      <c r="H85" s="10">
        <v>14500</v>
      </c>
      <c r="I85" s="6">
        <v>2</v>
      </c>
      <c r="J85" s="6">
        <f>H85*I85</f>
        <v>29000</v>
      </c>
    </row>
    <row r="86" spans="2:10" ht="20.100000000000001" customHeight="1" x14ac:dyDescent="0.25">
      <c r="B86" s="4">
        <v>44919</v>
      </c>
      <c r="C86" s="8" t="str">
        <f>"Ord-12-22-"&amp;TEXT(ROW(C84),"000")</f>
        <v>Ord-12-22-084</v>
      </c>
      <c r="D86" s="6" t="s">
        <v>11</v>
      </c>
      <c r="E86" s="10" t="s">
        <v>31</v>
      </c>
      <c r="F86" s="10" t="s">
        <v>43</v>
      </c>
      <c r="G86" s="10" t="s">
        <v>61</v>
      </c>
      <c r="H86" s="10">
        <v>18000</v>
      </c>
      <c r="I86" s="6">
        <v>2</v>
      </c>
      <c r="J86" s="6">
        <f>H86*I86</f>
        <v>36000</v>
      </c>
    </row>
    <row r="87" spans="2:10" ht="20.100000000000001" customHeight="1" x14ac:dyDescent="0.25">
      <c r="B87" s="4">
        <v>44919</v>
      </c>
      <c r="C87" s="8" t="str">
        <f>"Ord-12-22-"&amp;TEXT(ROW(C85),"000")</f>
        <v>Ord-12-22-085</v>
      </c>
      <c r="D87" s="6" t="s">
        <v>10</v>
      </c>
      <c r="E87" s="10" t="s">
        <v>31</v>
      </c>
      <c r="F87" s="10" t="s">
        <v>48</v>
      </c>
      <c r="G87" s="10" t="s">
        <v>76</v>
      </c>
      <c r="H87" s="13">
        <v>3500</v>
      </c>
      <c r="I87" s="6">
        <v>2</v>
      </c>
      <c r="J87" s="6">
        <f>H87*I87</f>
        <v>7000</v>
      </c>
    </row>
    <row r="88" spans="2:10" ht="20.100000000000001" customHeight="1" x14ac:dyDescent="0.25">
      <c r="B88" s="4">
        <v>44919</v>
      </c>
      <c r="C88" s="8" t="str">
        <f>"Ord-12-22-"&amp;TEXT(ROW(C86),"000")</f>
        <v>Ord-12-22-086</v>
      </c>
      <c r="D88" s="6" t="s">
        <v>15</v>
      </c>
      <c r="E88" s="10" t="s">
        <v>36</v>
      </c>
      <c r="F88" s="10" t="s">
        <v>36</v>
      </c>
      <c r="G88" s="10" t="s">
        <v>78</v>
      </c>
      <c r="H88" s="10">
        <v>2500</v>
      </c>
      <c r="I88" s="6">
        <v>4</v>
      </c>
      <c r="J88" s="6">
        <f>H88*I88</f>
        <v>10000</v>
      </c>
    </row>
    <row r="89" spans="2:10" ht="20.100000000000001" customHeight="1" x14ac:dyDescent="0.25">
      <c r="B89" s="4">
        <v>44921</v>
      </c>
      <c r="C89" s="8" t="str">
        <f>"Ord-12-22-"&amp;TEXT(ROW(C87),"000")</f>
        <v>Ord-12-22-087</v>
      </c>
      <c r="D89" s="6" t="s">
        <v>23</v>
      </c>
      <c r="E89" s="10" t="s">
        <v>32</v>
      </c>
      <c r="F89" s="10" t="s">
        <v>51</v>
      </c>
      <c r="G89" s="10" t="s">
        <v>80</v>
      </c>
      <c r="H89" s="10">
        <v>5500</v>
      </c>
      <c r="I89" s="6">
        <v>5</v>
      </c>
      <c r="J89" s="6">
        <f>H89*I89</f>
        <v>27500</v>
      </c>
    </row>
    <row r="90" spans="2:10" ht="20.100000000000001" customHeight="1" x14ac:dyDescent="0.25">
      <c r="B90" s="4">
        <v>44921</v>
      </c>
      <c r="C90" s="8" t="str">
        <f>"Ord-12-22-"&amp;TEXT(ROW(C88),"000")</f>
        <v>Ord-12-22-088</v>
      </c>
      <c r="D90" s="6" t="s">
        <v>25</v>
      </c>
      <c r="E90" s="10" t="s">
        <v>33</v>
      </c>
      <c r="F90" s="10" t="s">
        <v>47</v>
      </c>
      <c r="G90" s="10" t="s">
        <v>65</v>
      </c>
      <c r="H90" s="10">
        <v>25</v>
      </c>
      <c r="I90" s="6">
        <v>150</v>
      </c>
      <c r="J90" s="6">
        <f>H90*I90</f>
        <v>3750</v>
      </c>
    </row>
    <row r="91" spans="2:10" ht="20.100000000000001" customHeight="1" x14ac:dyDescent="0.25">
      <c r="B91" s="4">
        <v>44921</v>
      </c>
      <c r="C91" s="8" t="str">
        <f>"Ord-12-22-"&amp;TEXT(ROW(C89),"000")</f>
        <v>Ord-12-22-089</v>
      </c>
      <c r="D91" s="6" t="s">
        <v>8</v>
      </c>
      <c r="E91" s="10" t="s">
        <v>33</v>
      </c>
      <c r="F91" s="10" t="s">
        <v>46</v>
      </c>
      <c r="G91" s="10" t="s">
        <v>65</v>
      </c>
      <c r="H91" s="10">
        <v>15</v>
      </c>
      <c r="I91" s="6">
        <v>1000</v>
      </c>
      <c r="J91" s="6">
        <f>H91*I91</f>
        <v>15000</v>
      </c>
    </row>
    <row r="92" spans="2:10" ht="20.100000000000001" customHeight="1" x14ac:dyDescent="0.25">
      <c r="B92" s="4">
        <v>44921</v>
      </c>
      <c r="C92" s="8" t="str">
        <f>"Ord-12-22-"&amp;TEXT(ROW(C90),"000")</f>
        <v>Ord-12-22-090</v>
      </c>
      <c r="D92" s="6" t="s">
        <v>25</v>
      </c>
      <c r="E92" s="10" t="s">
        <v>29</v>
      </c>
      <c r="F92" s="10" t="s">
        <v>40</v>
      </c>
      <c r="G92" s="10" t="s">
        <v>84</v>
      </c>
      <c r="H92" s="10">
        <v>7500</v>
      </c>
      <c r="I92" s="6">
        <v>5</v>
      </c>
      <c r="J92" s="6">
        <f>H92*I92</f>
        <v>37500</v>
      </c>
    </row>
    <row r="93" spans="2:10" ht="20.100000000000001" customHeight="1" x14ac:dyDescent="0.25">
      <c r="B93" s="4">
        <v>44921</v>
      </c>
      <c r="C93" s="8" t="str">
        <f>"Ord-12-22-"&amp;TEXT(ROW(C91),"000")</f>
        <v>Ord-12-22-091</v>
      </c>
      <c r="D93" s="6" t="s">
        <v>22</v>
      </c>
      <c r="E93" s="10" t="s">
        <v>27</v>
      </c>
      <c r="F93" s="10" t="s">
        <v>41</v>
      </c>
      <c r="G93" s="10" t="s">
        <v>54</v>
      </c>
      <c r="H93" s="10">
        <v>2800</v>
      </c>
      <c r="I93" s="6">
        <v>3</v>
      </c>
      <c r="J93" s="6">
        <f>H93*I93</f>
        <v>8400</v>
      </c>
    </row>
    <row r="94" spans="2:10" ht="20.100000000000001" customHeight="1" x14ac:dyDescent="0.25">
      <c r="B94" s="4">
        <v>44922</v>
      </c>
      <c r="C94" s="8" t="str">
        <f>"Ord-12-22-"&amp;TEXT(ROW(C92),"000")</f>
        <v>Ord-12-22-092</v>
      </c>
      <c r="D94" s="6" t="s">
        <v>16</v>
      </c>
      <c r="E94" s="10" t="s">
        <v>35</v>
      </c>
      <c r="F94" s="12" t="s">
        <v>90</v>
      </c>
      <c r="G94" s="10" t="s">
        <v>58</v>
      </c>
      <c r="H94" s="13">
        <v>7500</v>
      </c>
      <c r="I94" s="6">
        <v>1</v>
      </c>
      <c r="J94" s="6">
        <f>H94*I94</f>
        <v>7500</v>
      </c>
    </row>
    <row r="95" spans="2:10" ht="20.100000000000001" customHeight="1" x14ac:dyDescent="0.25">
      <c r="B95" s="4">
        <v>44922</v>
      </c>
      <c r="C95" s="8" t="str">
        <f>"Ord-12-22-"&amp;TEXT(ROW(C93),"000")</f>
        <v>Ord-12-22-093</v>
      </c>
      <c r="D95" s="6" t="s">
        <v>18</v>
      </c>
      <c r="E95" s="10" t="s">
        <v>28</v>
      </c>
      <c r="F95" s="10" t="s">
        <v>28</v>
      </c>
      <c r="G95" s="10" t="s">
        <v>77</v>
      </c>
      <c r="H95" s="10">
        <v>1200</v>
      </c>
      <c r="I95" s="6">
        <v>5</v>
      </c>
      <c r="J95" s="6">
        <f>H95*I95</f>
        <v>6000</v>
      </c>
    </row>
    <row r="96" spans="2:10" ht="20.100000000000001" customHeight="1" x14ac:dyDescent="0.25">
      <c r="B96" s="4">
        <v>44922</v>
      </c>
      <c r="C96" s="8" t="str">
        <f>"Ord-12-22-"&amp;TEXT(ROW(C94),"000")</f>
        <v>Ord-12-22-094</v>
      </c>
      <c r="D96" s="6" t="s">
        <v>9</v>
      </c>
      <c r="E96" s="10" t="s">
        <v>36</v>
      </c>
      <c r="F96" s="10" t="s">
        <v>36</v>
      </c>
      <c r="G96" s="10" t="s">
        <v>85</v>
      </c>
      <c r="H96" s="10">
        <v>2200</v>
      </c>
      <c r="I96" s="6">
        <v>1</v>
      </c>
      <c r="J96" s="6">
        <f>H96*I96</f>
        <v>2200</v>
      </c>
    </row>
    <row r="97" spans="2:10" ht="20.100000000000001" customHeight="1" x14ac:dyDescent="0.25">
      <c r="B97" s="4">
        <v>44922</v>
      </c>
      <c r="C97" s="8" t="str">
        <f>"Ord-12-22-"&amp;TEXT(ROW(C95),"000")</f>
        <v>Ord-12-22-095</v>
      </c>
      <c r="D97" s="6" t="s">
        <v>9</v>
      </c>
      <c r="E97" s="10" t="s">
        <v>29</v>
      </c>
      <c r="F97" s="10" t="s">
        <v>39</v>
      </c>
      <c r="G97" s="10" t="s">
        <v>60</v>
      </c>
      <c r="H97" s="10">
        <v>1500</v>
      </c>
      <c r="I97" s="6">
        <v>5</v>
      </c>
      <c r="J97" s="6">
        <f>H97*I97</f>
        <v>7500</v>
      </c>
    </row>
    <row r="98" spans="2:10" ht="20.100000000000001" customHeight="1" x14ac:dyDescent="0.25">
      <c r="B98" s="4">
        <v>44922</v>
      </c>
      <c r="C98" s="8" t="str">
        <f>"Ord-12-22-"&amp;TEXT(ROW(C96),"000")</f>
        <v>Ord-12-22-096</v>
      </c>
      <c r="D98" s="6" t="s">
        <v>11</v>
      </c>
      <c r="E98" s="10" t="s">
        <v>27</v>
      </c>
      <c r="F98" s="10" t="s">
        <v>37</v>
      </c>
      <c r="G98" s="10" t="s">
        <v>54</v>
      </c>
      <c r="H98" s="10">
        <v>5000</v>
      </c>
      <c r="I98" s="6">
        <v>4</v>
      </c>
      <c r="J98" s="6">
        <f>H98*I98</f>
        <v>20000</v>
      </c>
    </row>
    <row r="99" spans="2:10" ht="20.100000000000001" customHeight="1" x14ac:dyDescent="0.25">
      <c r="B99" s="4">
        <v>44923</v>
      </c>
      <c r="C99" s="8" t="str">
        <f>"Ord-12-22-"&amp;TEXT(ROW(C97),"000")</f>
        <v>Ord-12-22-097</v>
      </c>
      <c r="D99" s="6" t="s">
        <v>19</v>
      </c>
      <c r="E99" s="10" t="s">
        <v>35</v>
      </c>
      <c r="F99" s="12" t="s">
        <v>90</v>
      </c>
      <c r="G99" s="10" t="s">
        <v>71</v>
      </c>
      <c r="H99" s="10">
        <v>5500</v>
      </c>
      <c r="I99" s="6">
        <v>4</v>
      </c>
      <c r="J99" s="6">
        <f>H99*I99</f>
        <v>22000</v>
      </c>
    </row>
    <row r="100" spans="2:10" ht="20.100000000000001" customHeight="1" x14ac:dyDescent="0.25">
      <c r="B100" s="4">
        <v>44923</v>
      </c>
      <c r="C100" s="8" t="str">
        <f>"Ord-12-22-"&amp;TEXT(ROW(C98),"000")</f>
        <v>Ord-12-22-098</v>
      </c>
      <c r="D100" s="6" t="s">
        <v>11</v>
      </c>
      <c r="E100" s="10" t="s">
        <v>31</v>
      </c>
      <c r="F100" s="10" t="s">
        <v>52</v>
      </c>
      <c r="G100" s="10" t="s">
        <v>82</v>
      </c>
      <c r="H100" s="10">
        <v>5000</v>
      </c>
      <c r="I100" s="6">
        <v>1</v>
      </c>
      <c r="J100" s="6">
        <f>H100*I100</f>
        <v>5000</v>
      </c>
    </row>
    <row r="101" spans="2:10" ht="20.100000000000001" customHeight="1" x14ac:dyDescent="0.25">
      <c r="B101" s="4">
        <v>44923</v>
      </c>
      <c r="C101" s="8" t="str">
        <f>"Ord-12-22-"&amp;TEXT(ROW(C99),"000")</f>
        <v>Ord-12-22-099</v>
      </c>
      <c r="D101" s="6" t="s">
        <v>7</v>
      </c>
      <c r="E101" s="10" t="s">
        <v>29</v>
      </c>
      <c r="F101" s="10" t="s">
        <v>40</v>
      </c>
      <c r="G101" s="10" t="s">
        <v>57</v>
      </c>
      <c r="H101" s="10">
        <v>4000</v>
      </c>
      <c r="I101" s="6">
        <v>4</v>
      </c>
      <c r="J101" s="6">
        <f>H101*I101</f>
        <v>16000</v>
      </c>
    </row>
    <row r="102" spans="2:10" ht="20.100000000000001" customHeight="1" x14ac:dyDescent="0.25">
      <c r="B102" s="4">
        <v>44923</v>
      </c>
      <c r="C102" s="8" t="str">
        <f>"Ord-12-22-"&amp;TEXT(ROW(C100),"000")</f>
        <v>Ord-12-22-100</v>
      </c>
      <c r="D102" s="6" t="s">
        <v>16</v>
      </c>
      <c r="E102" s="10" t="s">
        <v>27</v>
      </c>
      <c r="F102" s="10" t="s">
        <v>50</v>
      </c>
      <c r="G102" s="10" t="s">
        <v>54</v>
      </c>
      <c r="H102" s="10">
        <v>3200</v>
      </c>
      <c r="I102" s="7">
        <v>3</v>
      </c>
      <c r="J102" s="6">
        <f>H102*I102</f>
        <v>9600</v>
      </c>
    </row>
    <row r="103" spans="2:10" ht="20.100000000000001" customHeight="1" x14ac:dyDescent="0.25">
      <c r="B103" s="4">
        <v>44923</v>
      </c>
      <c r="C103" s="8" t="str">
        <f>"Ord-12-22-"&amp;TEXT(ROW(C101),"000")</f>
        <v>Ord-12-22-101</v>
      </c>
      <c r="D103" s="6" t="s">
        <v>26</v>
      </c>
      <c r="E103" s="10" t="s">
        <v>27</v>
      </c>
      <c r="F103" s="10" t="s">
        <v>38</v>
      </c>
      <c r="G103" s="10" t="s">
        <v>54</v>
      </c>
      <c r="H103" s="10">
        <v>5200</v>
      </c>
      <c r="I103" s="6">
        <v>1</v>
      </c>
      <c r="J103" s="6">
        <f>H103*I103</f>
        <v>5200</v>
      </c>
    </row>
    <row r="104" spans="2:10" ht="20.100000000000001" customHeight="1" x14ac:dyDescent="0.25">
      <c r="B104" s="4">
        <v>44924</v>
      </c>
      <c r="C104" s="8" t="str">
        <f>"Ord-12-22-"&amp;TEXT(ROW(C102),"000")</f>
        <v>Ord-12-22-102</v>
      </c>
      <c r="D104" s="6" t="s">
        <v>19</v>
      </c>
      <c r="E104" s="10" t="s">
        <v>32</v>
      </c>
      <c r="F104" s="10" t="s">
        <v>51</v>
      </c>
      <c r="G104" s="10" t="s">
        <v>81</v>
      </c>
      <c r="H104" s="10">
        <v>3000</v>
      </c>
      <c r="I104" s="6">
        <v>1</v>
      </c>
      <c r="J104" s="6">
        <f>H104*I104</f>
        <v>3000</v>
      </c>
    </row>
    <row r="105" spans="2:10" ht="20.100000000000001" customHeight="1" x14ac:dyDescent="0.25">
      <c r="B105" s="4">
        <v>44924</v>
      </c>
      <c r="C105" s="8" t="str">
        <f>"Ord-12-22-"&amp;TEXT(ROW(C103),"000")</f>
        <v>Ord-12-22-103</v>
      </c>
      <c r="D105" s="6" t="s">
        <v>8</v>
      </c>
      <c r="E105" s="10" t="s">
        <v>31</v>
      </c>
      <c r="F105" s="10" t="s">
        <v>45</v>
      </c>
      <c r="G105" s="10" t="s">
        <v>59</v>
      </c>
      <c r="H105" s="10">
        <v>4000</v>
      </c>
      <c r="I105" s="6">
        <v>1</v>
      </c>
      <c r="J105" s="6">
        <f>H105*I105</f>
        <v>4000</v>
      </c>
    </row>
    <row r="106" spans="2:10" ht="20.100000000000001" customHeight="1" x14ac:dyDescent="0.25">
      <c r="B106" s="4">
        <v>44924</v>
      </c>
      <c r="C106" s="8" t="str">
        <f>"Ord-12-22-"&amp;TEXT(ROW(C104),"000")</f>
        <v>Ord-12-22-104</v>
      </c>
      <c r="D106" s="6" t="s">
        <v>20</v>
      </c>
      <c r="E106" s="10" t="s">
        <v>31</v>
      </c>
      <c r="F106" s="10" t="s">
        <v>48</v>
      </c>
      <c r="G106" s="10" t="s">
        <v>63</v>
      </c>
      <c r="H106" s="14">
        <v>3500</v>
      </c>
      <c r="I106" s="6">
        <v>2</v>
      </c>
      <c r="J106" s="6">
        <f>H106*I106</f>
        <v>7000</v>
      </c>
    </row>
    <row r="107" spans="2:10" ht="20.100000000000001" customHeight="1" x14ac:dyDescent="0.25">
      <c r="B107" s="4">
        <v>44924</v>
      </c>
      <c r="C107" s="8" t="str">
        <f>"Ord-12-22-"&amp;TEXT(ROW(C105),"000")</f>
        <v>Ord-12-22-105</v>
      </c>
      <c r="D107" s="6" t="s">
        <v>20</v>
      </c>
      <c r="E107" s="10" t="s">
        <v>30</v>
      </c>
      <c r="F107" s="10" t="s">
        <v>90</v>
      </c>
      <c r="G107" s="10" t="s">
        <v>86</v>
      </c>
      <c r="H107" s="10">
        <v>7500</v>
      </c>
      <c r="I107" s="6">
        <v>2</v>
      </c>
      <c r="J107" s="6">
        <f>H107*I107</f>
        <v>15000</v>
      </c>
    </row>
    <row r="108" spans="2:10" ht="20.100000000000001" customHeight="1" x14ac:dyDescent="0.25">
      <c r="B108" s="4">
        <v>44924</v>
      </c>
      <c r="C108" s="8" t="str">
        <f>"Ord-12-22-"&amp;TEXT(ROW(C106),"000")</f>
        <v>Ord-12-22-106</v>
      </c>
      <c r="D108" s="6" t="s">
        <v>15</v>
      </c>
      <c r="E108" s="10" t="s">
        <v>27</v>
      </c>
      <c r="F108" s="10" t="s">
        <v>38</v>
      </c>
      <c r="G108" s="10" t="s">
        <v>53</v>
      </c>
      <c r="H108" s="10">
        <v>5500</v>
      </c>
      <c r="I108" s="6">
        <v>4</v>
      </c>
      <c r="J108" s="6">
        <f>H108*I108</f>
        <v>22000</v>
      </c>
    </row>
    <row r="109" spans="2:10" ht="20.100000000000001" customHeight="1" x14ac:dyDescent="0.25">
      <c r="B109" s="4">
        <v>44925</v>
      </c>
      <c r="C109" s="8" t="str">
        <f>"Ord-12-22-"&amp;TEXT(ROW(C107),"000")</f>
        <v>Ord-12-22-107</v>
      </c>
      <c r="D109" s="6" t="s">
        <v>17</v>
      </c>
      <c r="E109" s="10" t="s">
        <v>32</v>
      </c>
      <c r="F109" s="10" t="s">
        <v>44</v>
      </c>
      <c r="G109" s="10" t="s">
        <v>62</v>
      </c>
      <c r="H109" s="10">
        <v>1200</v>
      </c>
      <c r="I109" s="6">
        <v>5</v>
      </c>
      <c r="J109" s="6">
        <f>H109*I109</f>
        <v>6000</v>
      </c>
    </row>
    <row r="110" spans="2:10" ht="20.100000000000001" customHeight="1" x14ac:dyDescent="0.25">
      <c r="B110" s="4">
        <v>44925</v>
      </c>
      <c r="C110" s="8" t="str">
        <f>"Ord-12-22-"&amp;TEXT(ROW(C108),"000")</f>
        <v>Ord-12-22-108</v>
      </c>
      <c r="D110" s="6" t="s">
        <v>20</v>
      </c>
      <c r="E110" s="10" t="s">
        <v>31</v>
      </c>
      <c r="F110" s="10" t="s">
        <v>43</v>
      </c>
      <c r="G110" s="10" t="s">
        <v>67</v>
      </c>
      <c r="H110" s="10">
        <v>14500</v>
      </c>
      <c r="I110" s="6">
        <v>2</v>
      </c>
      <c r="J110" s="6">
        <f>H110*I110</f>
        <v>29000</v>
      </c>
    </row>
    <row r="111" spans="2:10" ht="20.100000000000001" customHeight="1" x14ac:dyDescent="0.25">
      <c r="B111" s="4">
        <v>44925</v>
      </c>
      <c r="C111" s="8" t="str">
        <f>"Ord-12-22-"&amp;TEXT(ROW(C109),"000")</f>
        <v>Ord-12-22-109</v>
      </c>
      <c r="D111" s="6" t="s">
        <v>10</v>
      </c>
      <c r="E111" s="10" t="s">
        <v>31</v>
      </c>
      <c r="F111" s="10" t="s">
        <v>45</v>
      </c>
      <c r="G111" s="10" t="s">
        <v>59</v>
      </c>
      <c r="H111" s="10">
        <v>4000</v>
      </c>
      <c r="I111" s="6">
        <v>3</v>
      </c>
      <c r="J111" s="6">
        <f>H111*I111</f>
        <v>12000</v>
      </c>
    </row>
    <row r="112" spans="2:10" ht="20.100000000000001" customHeight="1" x14ac:dyDescent="0.25">
      <c r="B112" s="4">
        <v>44925</v>
      </c>
      <c r="C112" s="8" t="str">
        <f>"Ord-12-22-"&amp;TEXT(ROW(C110),"000")</f>
        <v>Ord-12-22-110</v>
      </c>
      <c r="D112" s="6" t="s">
        <v>16</v>
      </c>
      <c r="E112" s="10" t="s">
        <v>29</v>
      </c>
      <c r="F112" s="10" t="s">
        <v>39</v>
      </c>
      <c r="G112" s="10" t="s">
        <v>56</v>
      </c>
      <c r="H112" s="10">
        <v>2500</v>
      </c>
      <c r="I112" s="6">
        <v>2</v>
      </c>
      <c r="J112" s="6">
        <f>H112*I112</f>
        <v>5000</v>
      </c>
    </row>
    <row r="113" spans="2:10" ht="20.100000000000001" customHeight="1" x14ac:dyDescent="0.25">
      <c r="B113" s="4">
        <v>44925</v>
      </c>
      <c r="C113" s="8" t="str">
        <f>"Ord-12-22-"&amp;TEXT(ROW(C111),"000")</f>
        <v>Ord-12-22-111</v>
      </c>
      <c r="D113" s="6" t="s">
        <v>19</v>
      </c>
      <c r="E113" s="10" t="s">
        <v>27</v>
      </c>
      <c r="F113" s="10" t="s">
        <v>42</v>
      </c>
      <c r="G113" s="10" t="s">
        <v>42</v>
      </c>
      <c r="H113" s="10">
        <v>2500</v>
      </c>
      <c r="I113" s="6">
        <v>2</v>
      </c>
      <c r="J113" s="6">
        <f>H113*I113</f>
        <v>5000</v>
      </c>
    </row>
    <row r="114" spans="2:10" ht="20.100000000000001" customHeight="1" x14ac:dyDescent="0.25">
      <c r="B114" s="4">
        <v>44926</v>
      </c>
      <c r="C114" s="8" t="str">
        <f>"Ord-12-22-"&amp;TEXT(ROW(C112),"000")</f>
        <v>Ord-12-22-112</v>
      </c>
      <c r="D114" s="6" t="s">
        <v>23</v>
      </c>
      <c r="E114" s="10" t="s">
        <v>29</v>
      </c>
      <c r="F114" s="10" t="s">
        <v>40</v>
      </c>
      <c r="G114" s="10" t="s">
        <v>57</v>
      </c>
      <c r="H114" s="10">
        <v>4000</v>
      </c>
      <c r="I114" s="6">
        <v>1</v>
      </c>
      <c r="J114" s="6">
        <f>H114*I114</f>
        <v>4000</v>
      </c>
    </row>
    <row r="115" spans="2:10" ht="20.100000000000001" customHeight="1" x14ac:dyDescent="0.25">
      <c r="B115" s="4">
        <v>44926</v>
      </c>
      <c r="C115" s="8" t="str">
        <f>"Ord-12-22-"&amp;TEXT(ROW(C113),"000")</f>
        <v>Ord-12-22-113</v>
      </c>
      <c r="D115" s="6" t="s">
        <v>13</v>
      </c>
      <c r="E115" s="10" t="s">
        <v>29</v>
      </c>
      <c r="F115" s="10" t="s">
        <v>39</v>
      </c>
      <c r="G115" s="10" t="s">
        <v>56</v>
      </c>
      <c r="H115" s="10">
        <v>2500</v>
      </c>
      <c r="I115" s="6">
        <v>4</v>
      </c>
      <c r="J115" s="6">
        <f>H115*I115</f>
        <v>10000</v>
      </c>
    </row>
    <row r="116" spans="2:10" ht="20.100000000000001" customHeight="1" x14ac:dyDescent="0.25">
      <c r="B116" s="4">
        <v>44926</v>
      </c>
      <c r="C116" s="8" t="str">
        <f>"Ord-12-22-"&amp;TEXT(ROW(C114),"000")</f>
        <v>Ord-12-22-114</v>
      </c>
      <c r="D116" s="6" t="s">
        <v>16</v>
      </c>
      <c r="E116" s="10" t="s">
        <v>27</v>
      </c>
      <c r="F116" s="10" t="s">
        <v>42</v>
      </c>
      <c r="G116" s="10" t="s">
        <v>42</v>
      </c>
      <c r="H116" s="10">
        <v>2500</v>
      </c>
      <c r="I116" s="6">
        <v>1</v>
      </c>
      <c r="J116" s="6">
        <f>H116*I116</f>
        <v>2500</v>
      </c>
    </row>
    <row r="117" spans="2:10" ht="20.100000000000001" customHeight="1" x14ac:dyDescent="0.25">
      <c r="B117" s="4">
        <v>44926</v>
      </c>
      <c r="C117" s="8" t="str">
        <f>"Ord-12-22-"&amp;TEXT(ROW(C115),"000")</f>
        <v>Ord-12-22-115</v>
      </c>
      <c r="D117" s="6" t="s">
        <v>19</v>
      </c>
      <c r="E117" s="10" t="s">
        <v>27</v>
      </c>
      <c r="F117" s="10" t="s">
        <v>37</v>
      </c>
      <c r="G117" s="10" t="s">
        <v>54</v>
      </c>
      <c r="H117" s="10">
        <v>5000</v>
      </c>
      <c r="I117" s="6">
        <v>1</v>
      </c>
      <c r="J117" s="6">
        <f>H117*I117</f>
        <v>5000</v>
      </c>
    </row>
    <row r="118" spans="2:10" ht="20.100000000000001" customHeight="1" x14ac:dyDescent="0.25">
      <c r="B118" s="4">
        <v>44926</v>
      </c>
      <c r="C118" s="8" t="str">
        <f>"Ord-12-22-"&amp;TEXT(ROW(C116),"000")</f>
        <v>Ord-12-22-116</v>
      </c>
      <c r="D118" s="6" t="s">
        <v>17</v>
      </c>
      <c r="E118" s="10" t="s">
        <v>34</v>
      </c>
      <c r="F118" s="10" t="s">
        <v>49</v>
      </c>
      <c r="G118" s="10" t="s">
        <v>75</v>
      </c>
      <c r="H118" s="10">
        <v>4300</v>
      </c>
      <c r="I118" s="6">
        <v>4</v>
      </c>
      <c r="J118" s="6">
        <f>H118*I118</f>
        <v>17200</v>
      </c>
    </row>
    <row r="119" spans="2:10" ht="20.100000000000001" customHeight="1" x14ac:dyDescent="0.25">
      <c r="B119" s="4">
        <v>44927</v>
      </c>
      <c r="C119" s="8" t="str">
        <f>"Ord-01-23-"&amp;TEXT(ROW(C1),"000")</f>
        <v>Ord-01-23-001</v>
      </c>
      <c r="D119" s="6" t="s">
        <v>21</v>
      </c>
      <c r="E119" s="10" t="s">
        <v>35</v>
      </c>
      <c r="F119" s="12" t="s">
        <v>90</v>
      </c>
      <c r="G119" s="10" t="s">
        <v>55</v>
      </c>
      <c r="H119" s="10">
        <v>5000</v>
      </c>
      <c r="I119" s="6">
        <v>2</v>
      </c>
      <c r="J119" s="6">
        <f>H119*I119</f>
        <v>10000</v>
      </c>
    </row>
    <row r="120" spans="2:10" ht="20.100000000000001" customHeight="1" x14ac:dyDescent="0.25">
      <c r="B120" s="4">
        <v>44927</v>
      </c>
      <c r="C120" s="8" t="str">
        <f>"Ord-01-23-"&amp;TEXT(ROW(C2),"000")</f>
        <v>Ord-01-23-002</v>
      </c>
      <c r="D120" s="6" t="s">
        <v>18</v>
      </c>
      <c r="E120" s="10" t="s">
        <v>32</v>
      </c>
      <c r="F120" s="10" t="s">
        <v>44</v>
      </c>
      <c r="G120" s="10" t="s">
        <v>62</v>
      </c>
      <c r="H120" s="10">
        <v>1200</v>
      </c>
      <c r="I120" s="6">
        <v>5</v>
      </c>
      <c r="J120" s="6">
        <f>H120*I120</f>
        <v>6000</v>
      </c>
    </row>
    <row r="121" spans="2:10" ht="20.100000000000001" customHeight="1" x14ac:dyDescent="0.25">
      <c r="B121" s="4">
        <v>44927</v>
      </c>
      <c r="C121" s="8" t="str">
        <f>"Ord-01-23-"&amp;TEXT(ROW(C3),"000")</f>
        <v>Ord-01-23-003</v>
      </c>
      <c r="D121" s="6" t="s">
        <v>7</v>
      </c>
      <c r="E121" s="10" t="s">
        <v>32</v>
      </c>
      <c r="F121" s="10" t="s">
        <v>44</v>
      </c>
      <c r="G121" s="10" t="s">
        <v>74</v>
      </c>
      <c r="H121" s="10">
        <v>1800</v>
      </c>
      <c r="I121" s="6">
        <v>4</v>
      </c>
      <c r="J121" s="6">
        <f>H121*I121</f>
        <v>7200</v>
      </c>
    </row>
    <row r="122" spans="2:10" ht="20.100000000000001" customHeight="1" x14ac:dyDescent="0.25">
      <c r="B122" s="4">
        <v>44927</v>
      </c>
      <c r="C122" s="8" t="str">
        <f>"Ord-01-23-"&amp;TEXT(ROW(C4),"000")</f>
        <v>Ord-01-23-004</v>
      </c>
      <c r="D122" s="6" t="s">
        <v>15</v>
      </c>
      <c r="E122" s="10" t="s">
        <v>31</v>
      </c>
      <c r="F122" s="10" t="s">
        <v>45</v>
      </c>
      <c r="G122" s="10" t="s">
        <v>59</v>
      </c>
      <c r="H122" s="10">
        <v>4000</v>
      </c>
      <c r="I122" s="6">
        <v>2</v>
      </c>
      <c r="J122" s="6">
        <f>H122*I122</f>
        <v>8000</v>
      </c>
    </row>
    <row r="123" spans="2:10" ht="20.100000000000001" customHeight="1" x14ac:dyDescent="0.25">
      <c r="B123" s="4">
        <v>44927</v>
      </c>
      <c r="C123" s="8" t="str">
        <f>"Ord-01-23-"&amp;TEXT(ROW(C5),"000")</f>
        <v>Ord-01-23-005</v>
      </c>
      <c r="D123" s="6" t="s">
        <v>26</v>
      </c>
      <c r="E123" s="10" t="s">
        <v>31</v>
      </c>
      <c r="F123" s="10" t="s">
        <v>52</v>
      </c>
      <c r="G123" s="10" t="s">
        <v>59</v>
      </c>
      <c r="H123" s="10">
        <v>3500</v>
      </c>
      <c r="I123" s="6">
        <v>2</v>
      </c>
      <c r="J123" s="6">
        <f>H123*I123</f>
        <v>7000</v>
      </c>
    </row>
    <row r="124" spans="2:10" ht="20.100000000000001" customHeight="1" x14ac:dyDescent="0.25">
      <c r="B124" s="4">
        <v>44928</v>
      </c>
      <c r="C124" s="8" t="str">
        <f>"Ord-01-23-"&amp;TEXT(ROW(C6),"000")</f>
        <v>Ord-01-23-006</v>
      </c>
      <c r="D124" s="6" t="s">
        <v>15</v>
      </c>
      <c r="E124" s="10" t="s">
        <v>28</v>
      </c>
      <c r="F124" s="10" t="s">
        <v>28</v>
      </c>
      <c r="G124" s="10" t="s">
        <v>58</v>
      </c>
      <c r="H124" s="10">
        <v>1000</v>
      </c>
      <c r="I124" s="6">
        <v>2</v>
      </c>
      <c r="J124" s="6">
        <f>H124*I124</f>
        <v>2000</v>
      </c>
    </row>
    <row r="125" spans="2:10" ht="20.100000000000001" customHeight="1" x14ac:dyDescent="0.25">
      <c r="B125" s="4">
        <v>44928</v>
      </c>
      <c r="C125" s="8" t="str">
        <f>"Ord-01-23-"&amp;TEXT(ROW(C7),"000")</f>
        <v>Ord-01-23-007</v>
      </c>
      <c r="D125" s="6" t="s">
        <v>16</v>
      </c>
      <c r="E125" s="10" t="s">
        <v>31</v>
      </c>
      <c r="F125" s="10" t="s">
        <v>48</v>
      </c>
      <c r="G125" s="10" t="s">
        <v>73</v>
      </c>
      <c r="H125" s="13">
        <v>1600</v>
      </c>
      <c r="I125" s="6">
        <v>4</v>
      </c>
      <c r="J125" s="6">
        <f>H125*I125</f>
        <v>6400</v>
      </c>
    </row>
    <row r="126" spans="2:10" ht="20.100000000000001" customHeight="1" x14ac:dyDescent="0.25">
      <c r="B126" s="4">
        <v>44928</v>
      </c>
      <c r="C126" s="8" t="str">
        <f>"Ord-01-23-"&amp;TEXT(ROW(C8),"000")</f>
        <v>Ord-01-23-008</v>
      </c>
      <c r="D126" s="6" t="s">
        <v>20</v>
      </c>
      <c r="E126" s="10" t="s">
        <v>27</v>
      </c>
      <c r="F126" s="10" t="s">
        <v>42</v>
      </c>
      <c r="G126" s="10" t="s">
        <v>42</v>
      </c>
      <c r="H126" s="10">
        <v>2500</v>
      </c>
      <c r="I126" s="6">
        <v>2</v>
      </c>
      <c r="J126" s="6">
        <f>H126*I126</f>
        <v>5000</v>
      </c>
    </row>
    <row r="127" spans="2:10" ht="20.100000000000001" customHeight="1" x14ac:dyDescent="0.25">
      <c r="B127" s="4">
        <v>44928</v>
      </c>
      <c r="C127" s="8" t="str">
        <f>"Ord-01-23-"&amp;TEXT(ROW(C9),"000")</f>
        <v>Ord-01-23-009</v>
      </c>
      <c r="D127" s="6" t="s">
        <v>11</v>
      </c>
      <c r="E127" s="10" t="s">
        <v>27</v>
      </c>
      <c r="F127" s="10" t="s">
        <v>38</v>
      </c>
      <c r="G127" s="10" t="s">
        <v>53</v>
      </c>
      <c r="H127" s="10">
        <v>5500</v>
      </c>
      <c r="I127" s="6">
        <v>1</v>
      </c>
      <c r="J127" s="6">
        <f>H127*I127</f>
        <v>5500</v>
      </c>
    </row>
    <row r="128" spans="2:10" ht="20.100000000000001" customHeight="1" x14ac:dyDescent="0.25">
      <c r="B128" s="4">
        <v>44928</v>
      </c>
      <c r="C128" s="8" t="str">
        <f>"Ord-01-23-"&amp;TEXT(ROW(C10),"000")</f>
        <v>Ord-01-23-010</v>
      </c>
      <c r="D128" s="6" t="s">
        <v>18</v>
      </c>
      <c r="E128" s="10" t="s">
        <v>27</v>
      </c>
      <c r="F128" s="10" t="s">
        <v>41</v>
      </c>
      <c r="G128" s="10" t="s">
        <v>53</v>
      </c>
      <c r="H128" s="10">
        <v>3000</v>
      </c>
      <c r="I128" s="6">
        <v>1</v>
      </c>
      <c r="J128" s="6">
        <f>H128*I128</f>
        <v>3000</v>
      </c>
    </row>
    <row r="129" spans="2:10" ht="20.100000000000001" customHeight="1" x14ac:dyDescent="0.25">
      <c r="B129" s="4">
        <v>44929</v>
      </c>
      <c r="C129" s="8" t="str">
        <f>"Ord-01-23-"&amp;TEXT(ROW(C11),"000")</f>
        <v>Ord-01-23-011</v>
      </c>
      <c r="D129" s="6" t="s">
        <v>8</v>
      </c>
      <c r="E129" s="10" t="s">
        <v>35</v>
      </c>
      <c r="F129" s="12" t="s">
        <v>90</v>
      </c>
      <c r="G129" s="10" t="s">
        <v>79</v>
      </c>
      <c r="H129" s="10">
        <v>4800</v>
      </c>
      <c r="I129" s="6">
        <v>2</v>
      </c>
      <c r="J129" s="6">
        <f>H129*I129</f>
        <v>9600</v>
      </c>
    </row>
    <row r="130" spans="2:10" ht="20.100000000000001" customHeight="1" x14ac:dyDescent="0.25">
      <c r="B130" s="4">
        <v>44929</v>
      </c>
      <c r="C130" s="8" t="str">
        <f>"Ord-01-23-"&amp;TEXT(ROW(C12),"000")</f>
        <v>Ord-01-23-012</v>
      </c>
      <c r="D130" s="6" t="s">
        <v>15</v>
      </c>
      <c r="E130" s="10" t="s">
        <v>32</v>
      </c>
      <c r="F130" s="10" t="s">
        <v>44</v>
      </c>
      <c r="G130" s="10" t="s">
        <v>72</v>
      </c>
      <c r="H130" s="10">
        <v>2200</v>
      </c>
      <c r="I130" s="6">
        <v>1</v>
      </c>
      <c r="J130" s="6">
        <f>H130*I130</f>
        <v>2200</v>
      </c>
    </row>
    <row r="131" spans="2:10" ht="20.100000000000001" customHeight="1" x14ac:dyDescent="0.25">
      <c r="B131" s="4">
        <v>44929</v>
      </c>
      <c r="C131" s="8" t="str">
        <f>"Ord-01-23-"&amp;TEXT(ROW(C13),"000")</f>
        <v>Ord-01-23-013</v>
      </c>
      <c r="D131" s="6" t="s">
        <v>16</v>
      </c>
      <c r="E131" s="10" t="s">
        <v>29</v>
      </c>
      <c r="F131" s="10" t="s">
        <v>40</v>
      </c>
      <c r="G131" s="10" t="s">
        <v>57</v>
      </c>
      <c r="H131" s="10">
        <v>4000</v>
      </c>
      <c r="I131" s="6">
        <v>4</v>
      </c>
      <c r="J131" s="6">
        <f>H131*I131</f>
        <v>16000</v>
      </c>
    </row>
    <row r="132" spans="2:10" ht="20.100000000000001" customHeight="1" x14ac:dyDescent="0.25">
      <c r="B132" s="4">
        <v>44929</v>
      </c>
      <c r="C132" s="8" t="str">
        <f>"Ord-01-23-"&amp;TEXT(ROW(C14),"000")</f>
        <v>Ord-01-23-014</v>
      </c>
      <c r="D132" s="6" t="s">
        <v>16</v>
      </c>
      <c r="E132" s="10" t="s">
        <v>27</v>
      </c>
      <c r="F132" s="10" t="s">
        <v>37</v>
      </c>
      <c r="G132" s="10" t="s">
        <v>64</v>
      </c>
      <c r="H132" s="10">
        <v>4500</v>
      </c>
      <c r="I132" s="6">
        <v>5</v>
      </c>
      <c r="J132" s="6">
        <f>H132*I132</f>
        <v>22500</v>
      </c>
    </row>
    <row r="133" spans="2:10" ht="20.100000000000001" customHeight="1" x14ac:dyDescent="0.25">
      <c r="B133" s="4">
        <v>44929</v>
      </c>
      <c r="C133" s="8" t="str">
        <f>"Ord-01-23-"&amp;TEXT(ROW(C15),"000")</f>
        <v>Ord-01-23-015</v>
      </c>
      <c r="D133" s="6" t="s">
        <v>18</v>
      </c>
      <c r="E133" s="10" t="s">
        <v>34</v>
      </c>
      <c r="F133" s="10" t="s">
        <v>49</v>
      </c>
      <c r="G133" s="10" t="s">
        <v>75</v>
      </c>
      <c r="H133" s="10">
        <v>4300</v>
      </c>
      <c r="I133" s="6">
        <v>3</v>
      </c>
      <c r="J133" s="6">
        <f>H133*I133</f>
        <v>12900</v>
      </c>
    </row>
    <row r="134" spans="2:10" ht="20.100000000000001" customHeight="1" x14ac:dyDescent="0.25">
      <c r="B134" s="4">
        <v>44930</v>
      </c>
      <c r="C134" s="8" t="str">
        <f>"Ord-01-23-"&amp;TEXT(ROW(C16),"000")</f>
        <v>Ord-01-23-016</v>
      </c>
      <c r="D134" s="6" t="s">
        <v>8</v>
      </c>
      <c r="E134" s="10" t="s">
        <v>33</v>
      </c>
      <c r="F134" s="10" t="s">
        <v>46</v>
      </c>
      <c r="G134" s="10" t="s">
        <v>65</v>
      </c>
      <c r="H134" s="10">
        <v>15</v>
      </c>
      <c r="I134" s="6">
        <v>500</v>
      </c>
      <c r="J134" s="6">
        <f>H134*I134</f>
        <v>7500</v>
      </c>
    </row>
    <row r="135" spans="2:10" ht="20.100000000000001" customHeight="1" x14ac:dyDescent="0.25">
      <c r="B135" s="4">
        <v>44930</v>
      </c>
      <c r="C135" s="8" t="str">
        <f>"Ord-01-23-"&amp;TEXT(ROW(C17),"000")</f>
        <v>Ord-01-23-017</v>
      </c>
      <c r="D135" s="6" t="s">
        <v>8</v>
      </c>
      <c r="E135" s="10" t="s">
        <v>27</v>
      </c>
      <c r="F135" s="10" t="s">
        <v>42</v>
      </c>
      <c r="G135" s="10" t="s">
        <v>42</v>
      </c>
      <c r="H135" s="10">
        <v>2500</v>
      </c>
      <c r="I135" s="6">
        <v>3</v>
      </c>
      <c r="J135" s="6">
        <f>H135*I135</f>
        <v>7500</v>
      </c>
    </row>
    <row r="136" spans="2:10" ht="20.100000000000001" customHeight="1" x14ac:dyDescent="0.25">
      <c r="B136" s="4">
        <v>44930</v>
      </c>
      <c r="C136" s="8" t="str">
        <f>"Ord-01-23-"&amp;TEXT(ROW(C18),"000")</f>
        <v>Ord-01-23-018</v>
      </c>
      <c r="D136" s="6" t="s">
        <v>19</v>
      </c>
      <c r="E136" s="10" t="s">
        <v>27</v>
      </c>
      <c r="F136" s="10" t="s">
        <v>38</v>
      </c>
      <c r="G136" s="10" t="s">
        <v>53</v>
      </c>
      <c r="H136" s="10">
        <v>5500</v>
      </c>
      <c r="I136" s="6">
        <v>4</v>
      </c>
      <c r="J136" s="6">
        <f>H136*I136</f>
        <v>22000</v>
      </c>
    </row>
    <row r="137" spans="2:10" ht="20.100000000000001" customHeight="1" x14ac:dyDescent="0.25">
      <c r="B137" s="4">
        <v>44930</v>
      </c>
      <c r="C137" s="8" t="str">
        <f>"Ord-01-23-"&amp;TEXT(ROW(C19),"000")</f>
        <v>Ord-01-23-019</v>
      </c>
      <c r="D137" s="6" t="s">
        <v>19</v>
      </c>
      <c r="E137" s="10" t="s">
        <v>27</v>
      </c>
      <c r="F137" s="10" t="s">
        <v>38</v>
      </c>
      <c r="G137" s="10" t="s">
        <v>53</v>
      </c>
      <c r="H137" s="10">
        <v>5500</v>
      </c>
      <c r="I137" s="6">
        <v>5</v>
      </c>
      <c r="J137" s="6">
        <f>H137*I137</f>
        <v>27500</v>
      </c>
    </row>
    <row r="138" spans="2:10" ht="20.100000000000001" customHeight="1" x14ac:dyDescent="0.25">
      <c r="B138" s="4">
        <v>44930</v>
      </c>
      <c r="C138" s="8" t="str">
        <f>"Ord-01-23-"&amp;TEXT(ROW(C20),"000")</f>
        <v>Ord-01-23-020</v>
      </c>
      <c r="D138" s="6" t="s">
        <v>10</v>
      </c>
      <c r="E138" s="10" t="s">
        <v>27</v>
      </c>
      <c r="F138" s="10" t="s">
        <v>38</v>
      </c>
      <c r="G138" s="10" t="s">
        <v>54</v>
      </c>
      <c r="H138" s="10">
        <v>5200</v>
      </c>
      <c r="I138" s="6">
        <v>5</v>
      </c>
      <c r="J138" s="6">
        <f>H138*I138</f>
        <v>26000</v>
      </c>
    </row>
    <row r="139" spans="2:10" ht="20.100000000000001" customHeight="1" x14ac:dyDescent="0.25">
      <c r="B139" s="4">
        <v>44931</v>
      </c>
      <c r="C139" s="8" t="str">
        <f>"Ord-01-23-"&amp;TEXT(ROW(C21),"000")</f>
        <v>Ord-01-23-021</v>
      </c>
      <c r="D139" s="6" t="s">
        <v>19</v>
      </c>
      <c r="E139" s="10" t="s">
        <v>35</v>
      </c>
      <c r="F139" s="12" t="s">
        <v>90</v>
      </c>
      <c r="G139" s="10" t="s">
        <v>77</v>
      </c>
      <c r="H139" s="10">
        <v>8500</v>
      </c>
      <c r="I139" s="6">
        <v>5</v>
      </c>
      <c r="J139" s="6">
        <f>H139*I139</f>
        <v>42500</v>
      </c>
    </row>
    <row r="140" spans="2:10" ht="20.100000000000001" customHeight="1" x14ac:dyDescent="0.25">
      <c r="B140" s="4">
        <v>44931</v>
      </c>
      <c r="C140" s="8" t="str">
        <f>"Ord-01-23-"&amp;TEXT(ROW(C22),"000")</f>
        <v>Ord-01-23-022</v>
      </c>
      <c r="D140" s="6" t="s">
        <v>25</v>
      </c>
      <c r="E140" s="10" t="s">
        <v>33</v>
      </c>
      <c r="F140" s="10" t="s">
        <v>47</v>
      </c>
      <c r="G140" s="10" t="s">
        <v>65</v>
      </c>
      <c r="H140" s="10">
        <v>25</v>
      </c>
      <c r="I140" s="6">
        <v>330</v>
      </c>
      <c r="J140" s="6">
        <f>H140*I140</f>
        <v>8250</v>
      </c>
    </row>
    <row r="141" spans="2:10" ht="20.100000000000001" customHeight="1" x14ac:dyDescent="0.25">
      <c r="B141" s="4">
        <v>44931</v>
      </c>
      <c r="C141" s="8" t="str">
        <f>"Ord-01-23-"&amp;TEXT(ROW(C23),"000")</f>
        <v>Ord-01-23-023</v>
      </c>
      <c r="D141" s="6" t="s">
        <v>10</v>
      </c>
      <c r="E141" s="10" t="s">
        <v>31</v>
      </c>
      <c r="F141" s="10" t="s">
        <v>52</v>
      </c>
      <c r="G141" s="10" t="s">
        <v>76</v>
      </c>
      <c r="H141" s="10">
        <v>2800</v>
      </c>
      <c r="I141" s="6">
        <v>1</v>
      </c>
      <c r="J141" s="6">
        <f>H141*I141</f>
        <v>2800</v>
      </c>
    </row>
    <row r="142" spans="2:10" ht="20.100000000000001" customHeight="1" x14ac:dyDescent="0.25">
      <c r="B142" s="4">
        <v>44931</v>
      </c>
      <c r="C142" s="8" t="str">
        <f>"Ord-01-23-"&amp;TEXT(ROW(C24),"000")</f>
        <v>Ord-01-23-024</v>
      </c>
      <c r="D142" s="6" t="s">
        <v>21</v>
      </c>
      <c r="E142" s="10" t="s">
        <v>27</v>
      </c>
      <c r="F142" s="10" t="s">
        <v>50</v>
      </c>
      <c r="G142" s="10" t="s">
        <v>54</v>
      </c>
      <c r="H142" s="10">
        <v>3200</v>
      </c>
      <c r="I142" s="6">
        <v>5</v>
      </c>
      <c r="J142" s="6">
        <f>H142*I142</f>
        <v>16000</v>
      </c>
    </row>
    <row r="143" spans="2:10" ht="20.100000000000001" customHeight="1" x14ac:dyDescent="0.25">
      <c r="B143" s="4">
        <v>44931</v>
      </c>
      <c r="C143" s="8" t="str">
        <f>"Ord-01-23-"&amp;TEXT(ROW(C25),"000")</f>
        <v>Ord-01-23-025</v>
      </c>
      <c r="D143" s="6" t="s">
        <v>10</v>
      </c>
      <c r="E143" s="10" t="s">
        <v>34</v>
      </c>
      <c r="F143" s="10" t="s">
        <v>49</v>
      </c>
      <c r="G143" s="10" t="s">
        <v>75</v>
      </c>
      <c r="H143" s="10">
        <v>4300</v>
      </c>
      <c r="I143" s="6">
        <v>3</v>
      </c>
      <c r="J143" s="6">
        <f>H143*I143</f>
        <v>12900</v>
      </c>
    </row>
    <row r="144" spans="2:10" ht="20.100000000000001" customHeight="1" x14ac:dyDescent="0.25">
      <c r="B144" s="4">
        <v>44932</v>
      </c>
      <c r="C144" s="8" t="str">
        <f>"Ord-01-23-"&amp;TEXT(ROW(C26),"000")</f>
        <v>Ord-01-23-026</v>
      </c>
      <c r="D144" s="6" t="s">
        <v>23</v>
      </c>
      <c r="E144" s="10" t="s">
        <v>32</v>
      </c>
      <c r="F144" s="10" t="s">
        <v>51</v>
      </c>
      <c r="G144" s="10" t="s">
        <v>72</v>
      </c>
      <c r="H144" s="10">
        <v>2200</v>
      </c>
      <c r="I144" s="6">
        <v>4</v>
      </c>
      <c r="J144" s="6">
        <f>H144*I144</f>
        <v>8800</v>
      </c>
    </row>
    <row r="145" spans="2:10" ht="20.100000000000001" customHeight="1" x14ac:dyDescent="0.25">
      <c r="B145" s="4">
        <v>44932</v>
      </c>
      <c r="C145" s="8" t="str">
        <f>"Ord-01-23-"&amp;TEXT(ROW(C27),"000")</f>
        <v>Ord-01-23-027</v>
      </c>
      <c r="D145" s="6" t="s">
        <v>25</v>
      </c>
      <c r="E145" s="10" t="s">
        <v>33</v>
      </c>
      <c r="F145" s="10" t="s">
        <v>46</v>
      </c>
      <c r="G145" s="10" t="s">
        <v>65</v>
      </c>
      <c r="H145" s="10">
        <v>15</v>
      </c>
      <c r="I145" s="6">
        <v>250</v>
      </c>
      <c r="J145" s="6">
        <f>H145*I145</f>
        <v>3750</v>
      </c>
    </row>
    <row r="146" spans="2:10" ht="20.100000000000001" customHeight="1" x14ac:dyDescent="0.25">
      <c r="B146" s="4">
        <v>44932</v>
      </c>
      <c r="C146" s="8" t="str">
        <f>"Ord-01-23-"&amp;TEXT(ROW(C28),"000")</f>
        <v>Ord-01-23-028</v>
      </c>
      <c r="D146" s="6" t="s">
        <v>7</v>
      </c>
      <c r="E146" s="10" t="s">
        <v>31</v>
      </c>
      <c r="F146" s="10" t="s">
        <v>45</v>
      </c>
      <c r="G146" s="10" t="s">
        <v>66</v>
      </c>
      <c r="H146" s="10">
        <v>2300</v>
      </c>
      <c r="I146" s="6">
        <v>1</v>
      </c>
      <c r="J146" s="6">
        <f>H146*I146</f>
        <v>2300</v>
      </c>
    </row>
    <row r="147" spans="2:10" ht="20.100000000000001" customHeight="1" x14ac:dyDescent="0.25">
      <c r="B147" s="4">
        <v>44932</v>
      </c>
      <c r="C147" s="8" t="str">
        <f>"Ord-01-23-"&amp;TEXT(ROW(C29),"000")</f>
        <v>Ord-01-23-029</v>
      </c>
      <c r="D147" s="6" t="s">
        <v>17</v>
      </c>
      <c r="E147" s="10" t="s">
        <v>31</v>
      </c>
      <c r="F147" s="10" t="s">
        <v>45</v>
      </c>
      <c r="G147" s="10" t="s">
        <v>66</v>
      </c>
      <c r="H147" s="10">
        <v>2300</v>
      </c>
      <c r="I147" s="6">
        <v>5</v>
      </c>
      <c r="J147" s="6">
        <f>H147*I147</f>
        <v>11500</v>
      </c>
    </row>
    <row r="148" spans="2:10" ht="20.100000000000001" customHeight="1" x14ac:dyDescent="0.25">
      <c r="B148" s="4">
        <v>44932</v>
      </c>
      <c r="C148" s="8" t="str">
        <f>"Ord-01-23-"&amp;TEXT(ROW(C30),"000")</f>
        <v>Ord-01-23-030</v>
      </c>
      <c r="D148" s="6" t="s">
        <v>14</v>
      </c>
      <c r="E148" s="10" t="s">
        <v>30</v>
      </c>
      <c r="F148" s="10" t="s">
        <v>90</v>
      </c>
      <c r="G148" s="10" t="s">
        <v>59</v>
      </c>
      <c r="H148" s="10">
        <v>4800</v>
      </c>
      <c r="I148" s="6">
        <v>4</v>
      </c>
      <c r="J148" s="6">
        <f>H148*I148</f>
        <v>19200</v>
      </c>
    </row>
    <row r="149" spans="2:10" ht="20.100000000000001" customHeight="1" x14ac:dyDescent="0.25">
      <c r="B149" s="4">
        <v>44933</v>
      </c>
      <c r="C149" s="8" t="str">
        <f>"Ord-01-23-"&amp;TEXT(ROW(C31),"000")</f>
        <v>Ord-01-23-031</v>
      </c>
      <c r="D149" s="6" t="s">
        <v>7</v>
      </c>
      <c r="E149" s="10" t="s">
        <v>35</v>
      </c>
      <c r="F149" s="12" t="s">
        <v>90</v>
      </c>
      <c r="G149" s="10" t="s">
        <v>79</v>
      </c>
      <c r="H149" s="13">
        <v>4800</v>
      </c>
      <c r="I149" s="7">
        <v>4</v>
      </c>
      <c r="J149" s="6">
        <f>H149*I149</f>
        <v>19200</v>
      </c>
    </row>
    <row r="150" spans="2:10" ht="20.100000000000001" customHeight="1" x14ac:dyDescent="0.25">
      <c r="B150" s="4">
        <v>44933</v>
      </c>
      <c r="C150" s="8" t="str">
        <f>"Ord-01-23-"&amp;TEXT(ROW(C32),"000")</f>
        <v>Ord-01-23-032</v>
      </c>
      <c r="D150" s="6" t="s">
        <v>21</v>
      </c>
      <c r="E150" s="10" t="s">
        <v>32</v>
      </c>
      <c r="F150" s="10" t="s">
        <v>51</v>
      </c>
      <c r="G150" s="10" t="s">
        <v>70</v>
      </c>
      <c r="H150" s="13">
        <v>2600</v>
      </c>
      <c r="I150" s="7">
        <v>3</v>
      </c>
      <c r="J150" s="6">
        <f>H150*I150</f>
        <v>7800</v>
      </c>
    </row>
    <row r="151" spans="2:10" ht="20.100000000000001" customHeight="1" x14ac:dyDescent="0.25">
      <c r="B151" s="4">
        <v>44933</v>
      </c>
      <c r="C151" s="8" t="str">
        <f>"Ord-01-23-"&amp;TEXT(ROW(C33),"000")</f>
        <v>Ord-01-23-033</v>
      </c>
      <c r="D151" s="6" t="s">
        <v>7</v>
      </c>
      <c r="E151" s="10" t="s">
        <v>31</v>
      </c>
      <c r="F151" s="10" t="s">
        <v>45</v>
      </c>
      <c r="G151" s="10" t="s">
        <v>59</v>
      </c>
      <c r="H151" s="10">
        <v>4000</v>
      </c>
      <c r="I151" s="6">
        <v>5</v>
      </c>
      <c r="J151" s="6">
        <f>H151*I151</f>
        <v>20000</v>
      </c>
    </row>
    <row r="152" spans="2:10" ht="20.100000000000001" customHeight="1" x14ac:dyDescent="0.25">
      <c r="B152" s="4">
        <v>44933</v>
      </c>
      <c r="C152" s="8" t="str">
        <f>"Ord-01-23-"&amp;TEXT(ROW(C34),"000")</f>
        <v>Ord-01-23-034</v>
      </c>
      <c r="D152" s="6" t="s">
        <v>8</v>
      </c>
      <c r="E152" s="10" t="s">
        <v>31</v>
      </c>
      <c r="F152" s="10" t="s">
        <v>48</v>
      </c>
      <c r="G152" s="10" t="s">
        <v>69</v>
      </c>
      <c r="H152" s="13">
        <v>3500</v>
      </c>
      <c r="I152" s="6">
        <v>2</v>
      </c>
      <c r="J152" s="6">
        <f>H152*I152</f>
        <v>7000</v>
      </c>
    </row>
    <row r="153" spans="2:10" ht="20.100000000000001" customHeight="1" x14ac:dyDescent="0.25">
      <c r="B153" s="4">
        <v>44933</v>
      </c>
      <c r="C153" s="8" t="str">
        <f>"Ord-01-23-"&amp;TEXT(ROW(C35),"000")</f>
        <v>Ord-01-23-035</v>
      </c>
      <c r="D153" s="6" t="s">
        <v>18</v>
      </c>
      <c r="E153" s="10" t="s">
        <v>29</v>
      </c>
      <c r="F153" s="10" t="s">
        <v>39</v>
      </c>
      <c r="G153" s="10" t="s">
        <v>60</v>
      </c>
      <c r="H153" s="10">
        <v>1500</v>
      </c>
      <c r="I153" s="6">
        <v>1</v>
      </c>
      <c r="J153" s="6">
        <f>H153*I153</f>
        <v>1500</v>
      </c>
    </row>
    <row r="154" spans="2:10" ht="20.100000000000001" customHeight="1" x14ac:dyDescent="0.25">
      <c r="B154" s="4">
        <v>44933</v>
      </c>
      <c r="C154" s="8" t="str">
        <f>"Ord-01-23-"&amp;TEXT(ROW(C36),"000")</f>
        <v>Ord-01-23-036</v>
      </c>
      <c r="D154" s="6" t="s">
        <v>8</v>
      </c>
      <c r="E154" s="10" t="s">
        <v>30</v>
      </c>
      <c r="F154" s="10" t="s">
        <v>90</v>
      </c>
      <c r="G154" s="10" t="s">
        <v>86</v>
      </c>
      <c r="H154" s="13">
        <v>7500</v>
      </c>
      <c r="I154" s="7">
        <v>1</v>
      </c>
      <c r="J154" s="6">
        <f>H154*I154</f>
        <v>7500</v>
      </c>
    </row>
    <row r="155" spans="2:10" ht="20.100000000000001" customHeight="1" x14ac:dyDescent="0.25">
      <c r="B155" s="4">
        <v>44933</v>
      </c>
      <c r="C155" s="8" t="str">
        <f>"Ord-01-23-"&amp;TEXT(ROW(C37),"000")</f>
        <v>Ord-01-23-037</v>
      </c>
      <c r="D155" s="6" t="s">
        <v>22</v>
      </c>
      <c r="E155" s="10" t="s">
        <v>27</v>
      </c>
      <c r="F155" s="10" t="s">
        <v>42</v>
      </c>
      <c r="G155" s="10" t="s">
        <v>42</v>
      </c>
      <c r="H155" s="10">
        <v>2500</v>
      </c>
      <c r="I155" s="6">
        <v>2</v>
      </c>
      <c r="J155" s="6">
        <f>H155*I155</f>
        <v>5000</v>
      </c>
    </row>
    <row r="156" spans="2:10" ht="20.100000000000001" customHeight="1" x14ac:dyDescent="0.25">
      <c r="B156" s="4">
        <v>44933</v>
      </c>
      <c r="C156" s="8" t="str">
        <f>"Ord-01-23-"&amp;TEXT(ROW(C38),"000")</f>
        <v>Ord-01-23-038</v>
      </c>
      <c r="D156" s="6" t="s">
        <v>11</v>
      </c>
      <c r="E156" s="10" t="s">
        <v>27</v>
      </c>
      <c r="F156" s="10" t="s">
        <v>50</v>
      </c>
      <c r="G156" s="10" t="s">
        <v>64</v>
      </c>
      <c r="H156" s="13">
        <v>3000</v>
      </c>
      <c r="I156" s="7">
        <v>4</v>
      </c>
      <c r="J156" s="6">
        <f>H156*I156</f>
        <v>12000</v>
      </c>
    </row>
    <row r="157" spans="2:10" ht="20.100000000000001" customHeight="1" x14ac:dyDescent="0.25">
      <c r="B157" s="4">
        <v>44933</v>
      </c>
      <c r="C157" s="8" t="str">
        <f>"Ord-01-23-"&amp;TEXT(ROW(C39),"000")</f>
        <v>Ord-01-23-039</v>
      </c>
      <c r="D157" s="6" t="s">
        <v>23</v>
      </c>
      <c r="E157" s="10" t="s">
        <v>27</v>
      </c>
      <c r="F157" s="10" t="s">
        <v>41</v>
      </c>
      <c r="G157" s="10" t="s">
        <v>54</v>
      </c>
      <c r="H157" s="13">
        <v>2800</v>
      </c>
      <c r="I157" s="7">
        <v>1</v>
      </c>
      <c r="J157" s="6">
        <f>H157*I157</f>
        <v>2800</v>
      </c>
    </row>
    <row r="158" spans="2:10" ht="20.100000000000001" customHeight="1" x14ac:dyDescent="0.25">
      <c r="B158" s="4">
        <v>44933</v>
      </c>
      <c r="C158" s="8" t="str">
        <f>"Ord-01-23-"&amp;TEXT(ROW(C40),"000")</f>
        <v>Ord-01-23-040</v>
      </c>
      <c r="D158" s="6" t="s">
        <v>11</v>
      </c>
      <c r="E158" s="10" t="s">
        <v>34</v>
      </c>
      <c r="F158" s="10" t="s">
        <v>49</v>
      </c>
      <c r="G158" s="10" t="s">
        <v>68</v>
      </c>
      <c r="H158" s="10">
        <v>4000</v>
      </c>
      <c r="I158" s="6">
        <v>2</v>
      </c>
      <c r="J158" s="6">
        <f>H158*I158</f>
        <v>8000</v>
      </c>
    </row>
    <row r="159" spans="2:10" ht="20.100000000000001" customHeight="1" x14ac:dyDescent="0.25">
      <c r="B159" s="4">
        <v>44934</v>
      </c>
      <c r="C159" s="8" t="str">
        <f>"Ord-01-23-"&amp;TEXT(ROW(C41),"000")</f>
        <v>Ord-01-23-041</v>
      </c>
      <c r="D159" s="6" t="s">
        <v>10</v>
      </c>
      <c r="E159" s="10" t="s">
        <v>32</v>
      </c>
      <c r="F159" s="10" t="s">
        <v>51</v>
      </c>
      <c r="G159" s="10" t="s">
        <v>72</v>
      </c>
      <c r="H159" s="10">
        <v>2200</v>
      </c>
      <c r="I159" s="6">
        <v>1</v>
      </c>
      <c r="J159" s="6">
        <f>H159*I159</f>
        <v>2200</v>
      </c>
    </row>
    <row r="160" spans="2:10" ht="20.100000000000001" customHeight="1" x14ac:dyDescent="0.25">
      <c r="B160" s="4">
        <v>44934</v>
      </c>
      <c r="C160" s="8" t="str">
        <f>"Ord-01-23-"&amp;TEXT(ROW(C42),"000")</f>
        <v>Ord-01-23-042</v>
      </c>
      <c r="D160" s="6" t="s">
        <v>20</v>
      </c>
      <c r="E160" s="10" t="s">
        <v>31</v>
      </c>
      <c r="F160" s="10" t="s">
        <v>52</v>
      </c>
      <c r="G160" s="10" t="s">
        <v>82</v>
      </c>
      <c r="H160" s="10">
        <v>5000</v>
      </c>
      <c r="I160" s="6">
        <v>1</v>
      </c>
      <c r="J160" s="6">
        <f>H160*I160</f>
        <v>5000</v>
      </c>
    </row>
    <row r="161" spans="2:10" ht="20.100000000000001" customHeight="1" x14ac:dyDescent="0.25">
      <c r="B161" s="4">
        <v>44934</v>
      </c>
      <c r="C161" s="8" t="str">
        <f>"Ord-01-23-"&amp;TEXT(ROW(C43),"000")</f>
        <v>Ord-01-23-043</v>
      </c>
      <c r="D161" s="6" t="s">
        <v>7</v>
      </c>
      <c r="E161" s="10" t="s">
        <v>36</v>
      </c>
      <c r="F161" s="10" t="s">
        <v>36</v>
      </c>
      <c r="G161" s="10" t="s">
        <v>85</v>
      </c>
      <c r="H161" s="10">
        <v>2200</v>
      </c>
      <c r="I161" s="6">
        <v>4</v>
      </c>
      <c r="J161" s="6">
        <f>H161*I161</f>
        <v>8800</v>
      </c>
    </row>
    <row r="162" spans="2:10" ht="20.100000000000001" customHeight="1" x14ac:dyDescent="0.25">
      <c r="B162" s="4">
        <v>44934</v>
      </c>
      <c r="C162" s="8" t="str">
        <f>"Ord-01-23-"&amp;TEXT(ROW(C44),"000")</f>
        <v>Ord-01-23-044</v>
      </c>
      <c r="D162" s="6" t="s">
        <v>14</v>
      </c>
      <c r="E162" s="10" t="s">
        <v>36</v>
      </c>
      <c r="F162" s="10" t="s">
        <v>36</v>
      </c>
      <c r="G162" s="10" t="s">
        <v>78</v>
      </c>
      <c r="H162" s="10">
        <v>2500</v>
      </c>
      <c r="I162" s="6">
        <v>1</v>
      </c>
      <c r="J162" s="6">
        <f>H162*I162</f>
        <v>2500</v>
      </c>
    </row>
    <row r="163" spans="2:10" ht="20.100000000000001" customHeight="1" x14ac:dyDescent="0.25">
      <c r="B163" s="4">
        <v>44934</v>
      </c>
      <c r="C163" s="8" t="str">
        <f>"Ord-01-23-"&amp;TEXT(ROW(C45),"000")</f>
        <v>Ord-01-23-045</v>
      </c>
      <c r="D163" s="6" t="s">
        <v>13</v>
      </c>
      <c r="E163" s="10" t="s">
        <v>27</v>
      </c>
      <c r="F163" s="10" t="s">
        <v>41</v>
      </c>
      <c r="G163" s="10" t="s">
        <v>53</v>
      </c>
      <c r="H163" s="10">
        <v>3000</v>
      </c>
      <c r="I163" s="6">
        <v>2</v>
      </c>
      <c r="J163" s="6">
        <f>H163*I163</f>
        <v>6000</v>
      </c>
    </row>
    <row r="164" spans="2:10" ht="20.100000000000001" customHeight="1" x14ac:dyDescent="0.25">
      <c r="B164" s="4">
        <v>44935</v>
      </c>
      <c r="C164" s="8" t="str">
        <f>"Ord-01-23-"&amp;TEXT(ROW(C46),"000")</f>
        <v>Ord-01-23-046</v>
      </c>
      <c r="D164" s="6" t="s">
        <v>8</v>
      </c>
      <c r="E164" s="10" t="s">
        <v>35</v>
      </c>
      <c r="F164" s="12" t="s">
        <v>90</v>
      </c>
      <c r="G164" s="10" t="s">
        <v>71</v>
      </c>
      <c r="H164" s="10">
        <v>5500</v>
      </c>
      <c r="I164" s="6">
        <v>3</v>
      </c>
      <c r="J164" s="6">
        <f>H164*I164</f>
        <v>16500</v>
      </c>
    </row>
    <row r="165" spans="2:10" ht="20.100000000000001" customHeight="1" x14ac:dyDescent="0.25">
      <c r="B165" s="4">
        <v>44935</v>
      </c>
      <c r="C165" s="8" t="str">
        <f>"Ord-01-23-"&amp;TEXT(ROW(C47),"000")</f>
        <v>Ord-01-23-047</v>
      </c>
      <c r="D165" s="6" t="s">
        <v>18</v>
      </c>
      <c r="E165" s="10" t="s">
        <v>33</v>
      </c>
      <c r="F165" s="10" t="s">
        <v>47</v>
      </c>
      <c r="G165" s="10" t="s">
        <v>65</v>
      </c>
      <c r="H165" s="10">
        <v>25</v>
      </c>
      <c r="I165" s="6">
        <v>600</v>
      </c>
      <c r="J165" s="6">
        <f>H165*I165</f>
        <v>15000</v>
      </c>
    </row>
    <row r="166" spans="2:10" ht="20.100000000000001" customHeight="1" x14ac:dyDescent="0.25">
      <c r="B166" s="4">
        <v>44935</v>
      </c>
      <c r="C166" s="8" t="str">
        <f>"Ord-01-23-"&amp;TEXT(ROW(C48),"000")</f>
        <v>Ord-01-23-048</v>
      </c>
      <c r="D166" s="6" t="s">
        <v>9</v>
      </c>
      <c r="E166" s="10" t="s">
        <v>27</v>
      </c>
      <c r="F166" s="10" t="s">
        <v>41</v>
      </c>
      <c r="G166" s="10" t="s">
        <v>54</v>
      </c>
      <c r="H166" s="10">
        <v>2800</v>
      </c>
      <c r="I166" s="6">
        <v>3</v>
      </c>
      <c r="J166" s="6">
        <f>H166*I166</f>
        <v>8400</v>
      </c>
    </row>
    <row r="167" spans="2:10" ht="20.100000000000001" customHeight="1" x14ac:dyDescent="0.25">
      <c r="B167" s="4">
        <v>44935</v>
      </c>
      <c r="C167" s="8" t="str">
        <f>"Ord-01-23-"&amp;TEXT(ROW(C49),"000")</f>
        <v>Ord-01-23-049</v>
      </c>
      <c r="D167" s="6" t="s">
        <v>8</v>
      </c>
      <c r="E167" s="10" t="s">
        <v>27</v>
      </c>
      <c r="F167" s="10" t="s">
        <v>41</v>
      </c>
      <c r="G167" s="10" t="s">
        <v>54</v>
      </c>
      <c r="H167" s="10">
        <v>2800</v>
      </c>
      <c r="I167" s="6">
        <v>4</v>
      </c>
      <c r="J167" s="6">
        <f>H167*I167</f>
        <v>11200</v>
      </c>
    </row>
    <row r="168" spans="2:10" ht="20.100000000000001" customHeight="1" x14ac:dyDescent="0.25">
      <c r="B168" s="4">
        <v>44935</v>
      </c>
      <c r="C168" s="8" t="str">
        <f>"Ord-01-23-"&amp;TEXT(ROW(C50),"000")</f>
        <v>Ord-01-23-050</v>
      </c>
      <c r="D168" s="6" t="s">
        <v>18</v>
      </c>
      <c r="E168" s="10" t="s">
        <v>34</v>
      </c>
      <c r="F168" s="10" t="s">
        <v>49</v>
      </c>
      <c r="G168" s="10" t="s">
        <v>68</v>
      </c>
      <c r="H168" s="10">
        <v>4000</v>
      </c>
      <c r="I168" s="6">
        <v>2</v>
      </c>
      <c r="J168" s="6">
        <f>H168*I168</f>
        <v>8000</v>
      </c>
    </row>
    <row r="169" spans="2:10" ht="20.100000000000001" customHeight="1" x14ac:dyDescent="0.25">
      <c r="B169" s="4">
        <v>44936</v>
      </c>
      <c r="C169" s="8" t="str">
        <f>"Ord-01-23-"&amp;TEXT(ROW(C51),"000")</f>
        <v>Ord-01-23-051</v>
      </c>
      <c r="D169" s="6" t="s">
        <v>7</v>
      </c>
      <c r="E169" s="10" t="s">
        <v>28</v>
      </c>
      <c r="F169" s="10" t="s">
        <v>28</v>
      </c>
      <c r="G169" s="10" t="s">
        <v>55</v>
      </c>
      <c r="H169" s="10">
        <v>750</v>
      </c>
      <c r="I169" s="6">
        <v>5</v>
      </c>
      <c r="J169" s="6">
        <f>H169*I169</f>
        <v>3750</v>
      </c>
    </row>
    <row r="170" spans="2:10" ht="20.100000000000001" customHeight="1" x14ac:dyDescent="0.25">
      <c r="B170" s="4">
        <v>44936</v>
      </c>
      <c r="C170" s="8" t="str">
        <f>"Ord-01-23-"&amp;TEXT(ROW(C52),"000")</f>
        <v>Ord-01-23-052</v>
      </c>
      <c r="D170" s="6" t="s">
        <v>15</v>
      </c>
      <c r="E170" s="10" t="s">
        <v>28</v>
      </c>
      <c r="F170" s="10" t="s">
        <v>28</v>
      </c>
      <c r="G170" s="10" t="s">
        <v>71</v>
      </c>
      <c r="H170" s="10">
        <v>850</v>
      </c>
      <c r="I170" s="6">
        <v>2</v>
      </c>
      <c r="J170" s="6">
        <f>H170*I170</f>
        <v>1700</v>
      </c>
    </row>
    <row r="171" spans="2:10" ht="20.100000000000001" customHeight="1" x14ac:dyDescent="0.25">
      <c r="B171" s="4">
        <v>44936</v>
      </c>
      <c r="C171" s="8" t="str">
        <f>"Ord-01-23-"&amp;TEXT(ROW(C53),"000")</f>
        <v>Ord-01-23-053</v>
      </c>
      <c r="D171" s="6" t="s">
        <v>19</v>
      </c>
      <c r="E171" s="10" t="s">
        <v>32</v>
      </c>
      <c r="F171" s="10" t="s">
        <v>44</v>
      </c>
      <c r="G171" s="10" t="s">
        <v>72</v>
      </c>
      <c r="H171" s="10">
        <v>2200</v>
      </c>
      <c r="I171" s="7">
        <v>2</v>
      </c>
      <c r="J171" s="6">
        <f>H171*I171</f>
        <v>4400</v>
      </c>
    </row>
    <row r="172" spans="2:10" ht="20.100000000000001" customHeight="1" x14ac:dyDescent="0.25">
      <c r="B172" s="4">
        <v>44936</v>
      </c>
      <c r="C172" s="8" t="str">
        <f>"Ord-01-23-"&amp;TEXT(ROW(C54),"000")</f>
        <v>Ord-01-23-054</v>
      </c>
      <c r="D172" s="6" t="s">
        <v>26</v>
      </c>
      <c r="E172" s="10" t="s">
        <v>31</v>
      </c>
      <c r="F172" s="10" t="s">
        <v>48</v>
      </c>
      <c r="G172" s="10" t="s">
        <v>69</v>
      </c>
      <c r="H172" s="13">
        <v>3500</v>
      </c>
      <c r="I172" s="6">
        <v>4</v>
      </c>
      <c r="J172" s="6">
        <f>H172*I172</f>
        <v>14000</v>
      </c>
    </row>
    <row r="173" spans="2:10" ht="20.100000000000001" customHeight="1" x14ac:dyDescent="0.25">
      <c r="B173" s="4">
        <v>44936</v>
      </c>
      <c r="C173" s="8" t="str">
        <f>"Ord-01-23-"&amp;TEXT(ROW(C55),"000")</f>
        <v>Ord-01-23-055</v>
      </c>
      <c r="D173" s="6" t="s">
        <v>20</v>
      </c>
      <c r="E173" s="10" t="s">
        <v>27</v>
      </c>
      <c r="F173" s="10" t="s">
        <v>38</v>
      </c>
      <c r="G173" s="10" t="s">
        <v>64</v>
      </c>
      <c r="H173" s="10">
        <v>4800</v>
      </c>
      <c r="I173" s="6">
        <v>1</v>
      </c>
      <c r="J173" s="6">
        <f>H173*I173</f>
        <v>4800</v>
      </c>
    </row>
    <row r="174" spans="2:10" ht="20.100000000000001" customHeight="1" x14ac:dyDescent="0.25">
      <c r="B174" s="4">
        <v>44937</v>
      </c>
      <c r="C174" s="8" t="str">
        <f>"Ord-01-23-"&amp;TEXT(ROW(C56),"000")</f>
        <v>Ord-01-23-056</v>
      </c>
      <c r="D174" s="6" t="s">
        <v>22</v>
      </c>
      <c r="E174" s="10" t="s">
        <v>33</v>
      </c>
      <c r="F174" s="10" t="s">
        <v>47</v>
      </c>
      <c r="G174" s="10" t="s">
        <v>65</v>
      </c>
      <c r="H174" s="10">
        <v>25</v>
      </c>
      <c r="I174" s="6">
        <v>250</v>
      </c>
      <c r="J174" s="6">
        <f>H174*I174</f>
        <v>6250</v>
      </c>
    </row>
    <row r="175" spans="2:10" ht="20.100000000000001" customHeight="1" x14ac:dyDescent="0.25">
      <c r="B175" s="4">
        <v>44937</v>
      </c>
      <c r="C175" s="8" t="str">
        <f>"Ord-01-23-"&amp;TEXT(ROW(C57),"000")</f>
        <v>Ord-01-23-057</v>
      </c>
      <c r="D175" s="6" t="s">
        <v>24</v>
      </c>
      <c r="E175" s="10" t="s">
        <v>27</v>
      </c>
      <c r="F175" s="10" t="s">
        <v>42</v>
      </c>
      <c r="G175" s="10" t="s">
        <v>42</v>
      </c>
      <c r="H175" s="10">
        <v>2500</v>
      </c>
      <c r="I175" s="6">
        <v>5</v>
      </c>
      <c r="J175" s="6">
        <f>H175*I175</f>
        <v>12500</v>
      </c>
    </row>
    <row r="176" spans="2:10" ht="20.100000000000001" customHeight="1" x14ac:dyDescent="0.25">
      <c r="B176" s="4">
        <v>44937</v>
      </c>
      <c r="C176" s="8" t="str">
        <f>"Ord-01-23-"&amp;TEXT(ROW(C58),"000")</f>
        <v>Ord-01-23-058</v>
      </c>
      <c r="D176" s="6" t="s">
        <v>19</v>
      </c>
      <c r="E176" s="10" t="s">
        <v>27</v>
      </c>
      <c r="F176" s="10" t="s">
        <v>37</v>
      </c>
      <c r="G176" s="10" t="s">
        <v>53</v>
      </c>
      <c r="H176" s="10">
        <v>5000</v>
      </c>
      <c r="I176" s="6">
        <v>2</v>
      </c>
      <c r="J176" s="6">
        <f>H176*I176</f>
        <v>10000</v>
      </c>
    </row>
    <row r="177" spans="2:10" ht="20.100000000000001" customHeight="1" x14ac:dyDescent="0.25">
      <c r="B177" s="4">
        <v>44937</v>
      </c>
      <c r="C177" s="8" t="str">
        <f>"Ord-01-23-"&amp;TEXT(ROW(C59),"000")</f>
        <v>Ord-01-23-059</v>
      </c>
      <c r="D177" s="6" t="s">
        <v>7</v>
      </c>
      <c r="E177" s="10" t="s">
        <v>27</v>
      </c>
      <c r="F177" s="10" t="s">
        <v>41</v>
      </c>
      <c r="G177" s="10" t="s">
        <v>53</v>
      </c>
      <c r="H177" s="10">
        <v>3000</v>
      </c>
      <c r="I177" s="6">
        <v>1</v>
      </c>
      <c r="J177" s="6">
        <f>H177*I177</f>
        <v>3000</v>
      </c>
    </row>
    <row r="178" spans="2:10" ht="20.100000000000001" customHeight="1" x14ac:dyDescent="0.25">
      <c r="B178" s="4">
        <v>44937</v>
      </c>
      <c r="C178" s="8" t="str">
        <f>"Ord-01-23-"&amp;TEXT(ROW(C60),"000")</f>
        <v>Ord-01-23-060</v>
      </c>
      <c r="D178" s="6" t="s">
        <v>22</v>
      </c>
      <c r="E178" s="10" t="s">
        <v>34</v>
      </c>
      <c r="F178" s="10" t="s">
        <v>49</v>
      </c>
      <c r="G178" s="10" t="s">
        <v>75</v>
      </c>
      <c r="H178" s="10">
        <v>4300</v>
      </c>
      <c r="I178" s="6">
        <v>3</v>
      </c>
      <c r="J178" s="6">
        <f>H178*I178</f>
        <v>12900</v>
      </c>
    </row>
    <row r="179" spans="2:10" ht="20.100000000000001" customHeight="1" x14ac:dyDescent="0.25">
      <c r="B179" s="4">
        <v>44938</v>
      </c>
      <c r="C179" s="8" t="str">
        <f>"Ord-01-23-"&amp;TEXT(ROW(C61),"000")</f>
        <v>Ord-01-23-061</v>
      </c>
      <c r="D179" s="6" t="s">
        <v>22</v>
      </c>
      <c r="E179" s="10" t="s">
        <v>28</v>
      </c>
      <c r="F179" s="10" t="s">
        <v>28</v>
      </c>
      <c r="G179" s="10" t="s">
        <v>71</v>
      </c>
      <c r="H179" s="10">
        <v>850</v>
      </c>
      <c r="I179" s="6">
        <v>5</v>
      </c>
      <c r="J179" s="6">
        <f>H179*I179</f>
        <v>4250</v>
      </c>
    </row>
    <row r="180" spans="2:10" ht="20.100000000000001" customHeight="1" x14ac:dyDescent="0.25">
      <c r="B180" s="4">
        <v>44938</v>
      </c>
      <c r="C180" s="8" t="str">
        <f>"Ord-01-23-"&amp;TEXT(ROW(C62),"000")</f>
        <v>Ord-01-23-062</v>
      </c>
      <c r="D180" s="6" t="s">
        <v>10</v>
      </c>
      <c r="E180" s="10" t="s">
        <v>28</v>
      </c>
      <c r="F180" s="10" t="s">
        <v>28</v>
      </c>
      <c r="G180" s="10" t="s">
        <v>77</v>
      </c>
      <c r="H180" s="10">
        <v>1200</v>
      </c>
      <c r="I180" s="6">
        <v>1</v>
      </c>
      <c r="J180" s="6">
        <f>H180*I180</f>
        <v>1200</v>
      </c>
    </row>
    <row r="181" spans="2:10" ht="20.100000000000001" customHeight="1" x14ac:dyDescent="0.25">
      <c r="B181" s="4">
        <v>44938</v>
      </c>
      <c r="C181" s="8" t="str">
        <f>"Ord-01-23-"&amp;TEXT(ROW(C63),"000")</f>
        <v>Ord-01-23-063</v>
      </c>
      <c r="D181" s="6" t="s">
        <v>22</v>
      </c>
      <c r="E181" s="10" t="s">
        <v>31</v>
      </c>
      <c r="F181" s="10" t="s">
        <v>43</v>
      </c>
      <c r="G181" s="10" t="s">
        <v>82</v>
      </c>
      <c r="H181" s="10">
        <v>16000</v>
      </c>
      <c r="I181" s="6">
        <v>3</v>
      </c>
      <c r="J181" s="6">
        <f>H181*I181</f>
        <v>48000</v>
      </c>
    </row>
    <row r="182" spans="2:10" ht="20.100000000000001" customHeight="1" x14ac:dyDescent="0.25">
      <c r="B182" s="4">
        <v>44938</v>
      </c>
      <c r="C182" s="8" t="str">
        <f>"Ord-01-23-"&amp;TEXT(ROW(C64),"000")</f>
        <v>Ord-01-23-064</v>
      </c>
      <c r="D182" s="6" t="s">
        <v>21</v>
      </c>
      <c r="E182" s="10" t="s">
        <v>31</v>
      </c>
      <c r="F182" s="10" t="s">
        <v>48</v>
      </c>
      <c r="G182" s="10" t="s">
        <v>76</v>
      </c>
      <c r="H182" s="13">
        <v>3500</v>
      </c>
      <c r="I182" s="6">
        <v>1</v>
      </c>
      <c r="J182" s="6">
        <f>H182*I182</f>
        <v>3500</v>
      </c>
    </row>
    <row r="183" spans="2:10" ht="20.100000000000001" customHeight="1" x14ac:dyDescent="0.25">
      <c r="B183" s="4">
        <v>44938</v>
      </c>
      <c r="C183" s="8" t="str">
        <f>"Ord-01-23-"&amp;TEXT(ROW(C65),"000")</f>
        <v>Ord-01-23-065</v>
      </c>
      <c r="D183" s="6" t="s">
        <v>20</v>
      </c>
      <c r="E183" s="10" t="s">
        <v>34</v>
      </c>
      <c r="F183" s="10" t="s">
        <v>49</v>
      </c>
      <c r="G183" s="10" t="s">
        <v>68</v>
      </c>
      <c r="H183" s="10">
        <v>4000</v>
      </c>
      <c r="I183" s="6">
        <v>4</v>
      </c>
      <c r="J183" s="6">
        <f>H183*I183</f>
        <v>16000</v>
      </c>
    </row>
    <row r="184" spans="2:10" ht="20.100000000000001" customHeight="1" x14ac:dyDescent="0.25">
      <c r="B184" s="4">
        <v>44939</v>
      </c>
      <c r="C184" s="8" t="str">
        <f>"Ord-01-23-"&amp;TEXT(ROW(C66),"000")</f>
        <v>Ord-01-23-066</v>
      </c>
      <c r="D184" s="6" t="s">
        <v>10</v>
      </c>
      <c r="E184" s="10" t="s">
        <v>32</v>
      </c>
      <c r="F184" s="10" t="s">
        <v>44</v>
      </c>
      <c r="G184" s="10" t="s">
        <v>62</v>
      </c>
      <c r="H184" s="10">
        <v>1200</v>
      </c>
      <c r="I184" s="6">
        <v>2</v>
      </c>
      <c r="J184" s="6">
        <f>H184*I184</f>
        <v>2400</v>
      </c>
    </row>
    <row r="185" spans="2:10" ht="20.100000000000001" customHeight="1" x14ac:dyDescent="0.25">
      <c r="B185" s="4">
        <v>44939</v>
      </c>
      <c r="C185" s="8" t="str">
        <f>"Ord-01-23-"&amp;TEXT(ROW(C67),"000")</f>
        <v>Ord-01-23-067</v>
      </c>
      <c r="D185" s="6" t="s">
        <v>13</v>
      </c>
      <c r="E185" s="10" t="s">
        <v>31</v>
      </c>
      <c r="F185" s="10" t="s">
        <v>43</v>
      </c>
      <c r="G185" s="10" t="s">
        <v>61</v>
      </c>
      <c r="H185" s="10">
        <v>18000</v>
      </c>
      <c r="I185" s="6">
        <v>1</v>
      </c>
      <c r="J185" s="6">
        <f>H185*I185</f>
        <v>18000</v>
      </c>
    </row>
    <row r="186" spans="2:10" ht="20.100000000000001" customHeight="1" x14ac:dyDescent="0.25">
      <c r="B186" s="4">
        <v>44939</v>
      </c>
      <c r="C186" s="8" t="str">
        <f>"Ord-01-23-"&amp;TEXT(ROW(C68),"000")</f>
        <v>Ord-01-23-068</v>
      </c>
      <c r="D186" s="6" t="s">
        <v>19</v>
      </c>
      <c r="E186" s="10" t="s">
        <v>31</v>
      </c>
      <c r="F186" s="10" t="s">
        <v>52</v>
      </c>
      <c r="G186" s="10" t="s">
        <v>63</v>
      </c>
      <c r="H186" s="10">
        <v>2800</v>
      </c>
      <c r="I186" s="6">
        <v>1</v>
      </c>
      <c r="J186" s="6">
        <f>H186*I186</f>
        <v>2800</v>
      </c>
    </row>
    <row r="187" spans="2:10" ht="20.100000000000001" customHeight="1" x14ac:dyDescent="0.25">
      <c r="B187" s="4">
        <v>44939</v>
      </c>
      <c r="C187" s="8" t="str">
        <f>"Ord-01-23-"&amp;TEXT(ROW(C69),"000")</f>
        <v>Ord-01-23-069</v>
      </c>
      <c r="D187" s="6" t="s">
        <v>13</v>
      </c>
      <c r="E187" s="10" t="s">
        <v>29</v>
      </c>
      <c r="F187" s="10" t="s">
        <v>39</v>
      </c>
      <c r="G187" s="10" t="s">
        <v>56</v>
      </c>
      <c r="H187" s="10">
        <v>2500</v>
      </c>
      <c r="I187" s="6">
        <v>3</v>
      </c>
      <c r="J187" s="6">
        <f>H187*I187</f>
        <v>7500</v>
      </c>
    </row>
    <row r="188" spans="2:10" ht="20.100000000000001" customHeight="1" x14ac:dyDescent="0.25">
      <c r="B188" s="4">
        <v>44939</v>
      </c>
      <c r="C188" s="8" t="str">
        <f>"Ord-01-23-"&amp;TEXT(ROW(C70),"000")</f>
        <v>Ord-01-23-070</v>
      </c>
      <c r="D188" s="6" t="s">
        <v>16</v>
      </c>
      <c r="E188" s="10" t="s">
        <v>34</v>
      </c>
      <c r="F188" s="10" t="s">
        <v>49</v>
      </c>
      <c r="G188" s="10" t="s">
        <v>68</v>
      </c>
      <c r="H188" s="10">
        <v>4000</v>
      </c>
      <c r="I188" s="6">
        <v>2</v>
      </c>
      <c r="J188" s="6">
        <f>H188*I188</f>
        <v>8000</v>
      </c>
    </row>
    <row r="189" spans="2:10" ht="20.100000000000001" customHeight="1" x14ac:dyDescent="0.25">
      <c r="B189" s="4">
        <v>44940</v>
      </c>
      <c r="C189" s="8" t="str">
        <f>"Ord-01-23-"&amp;TEXT(ROW(C71),"000")</f>
        <v>Ord-01-23-071</v>
      </c>
      <c r="D189" s="6" t="s">
        <v>26</v>
      </c>
      <c r="E189" s="10" t="s">
        <v>36</v>
      </c>
      <c r="F189" s="10" t="s">
        <v>36</v>
      </c>
      <c r="G189" s="10" t="s">
        <v>41</v>
      </c>
      <c r="H189" s="10">
        <v>2000</v>
      </c>
      <c r="I189" s="6">
        <v>3</v>
      </c>
      <c r="J189" s="6">
        <f>H189*I189</f>
        <v>6000</v>
      </c>
    </row>
    <row r="190" spans="2:10" ht="20.100000000000001" customHeight="1" x14ac:dyDescent="0.25">
      <c r="B190" s="4">
        <v>44940</v>
      </c>
      <c r="C190" s="8" t="str">
        <f>"Ord-01-23-"&amp;TEXT(ROW(C72),"000")</f>
        <v>Ord-01-23-072</v>
      </c>
      <c r="D190" s="6" t="s">
        <v>26</v>
      </c>
      <c r="E190" s="10" t="s">
        <v>29</v>
      </c>
      <c r="F190" s="10" t="s">
        <v>40</v>
      </c>
      <c r="G190" s="10" t="s">
        <v>57</v>
      </c>
      <c r="H190" s="10">
        <v>4000</v>
      </c>
      <c r="I190" s="6">
        <v>2</v>
      </c>
      <c r="J190" s="6">
        <f>H190*I190</f>
        <v>8000</v>
      </c>
    </row>
    <row r="191" spans="2:10" ht="20.100000000000001" customHeight="1" x14ac:dyDescent="0.25">
      <c r="B191" s="4">
        <v>44940</v>
      </c>
      <c r="C191" s="8" t="str">
        <f>"Ord-01-23-"&amp;TEXT(ROW(C73),"000")</f>
        <v>Ord-01-23-073</v>
      </c>
      <c r="D191" s="6" t="s">
        <v>7</v>
      </c>
      <c r="E191" s="10" t="s">
        <v>29</v>
      </c>
      <c r="F191" s="10" t="s">
        <v>39</v>
      </c>
      <c r="G191" s="10" t="s">
        <v>56</v>
      </c>
      <c r="H191" s="10">
        <v>2500</v>
      </c>
      <c r="I191" s="6">
        <v>4</v>
      </c>
      <c r="J191" s="6">
        <f>H191*I191</f>
        <v>10000</v>
      </c>
    </row>
    <row r="192" spans="2:10" ht="20.100000000000001" customHeight="1" x14ac:dyDescent="0.25">
      <c r="B192" s="4">
        <v>44940</v>
      </c>
      <c r="C192" s="8" t="str">
        <f>"Ord-01-23-"&amp;TEXT(ROW(C74),"000")</f>
        <v>Ord-01-23-074</v>
      </c>
      <c r="D192" s="6" t="s">
        <v>22</v>
      </c>
      <c r="E192" s="10" t="s">
        <v>27</v>
      </c>
      <c r="F192" s="10" t="s">
        <v>50</v>
      </c>
      <c r="G192" s="10" t="s">
        <v>64</v>
      </c>
      <c r="H192" s="10">
        <v>3000</v>
      </c>
      <c r="I192" s="6">
        <v>4</v>
      </c>
      <c r="J192" s="6">
        <f>H192*I192</f>
        <v>12000</v>
      </c>
    </row>
    <row r="193" spans="2:10" ht="20.100000000000001" customHeight="1" x14ac:dyDescent="0.25">
      <c r="B193" s="4">
        <v>44940</v>
      </c>
      <c r="C193" s="8" t="str">
        <f>"Ord-01-23-"&amp;TEXT(ROW(C75),"000")</f>
        <v>Ord-01-23-075</v>
      </c>
      <c r="D193" s="6" t="s">
        <v>15</v>
      </c>
      <c r="E193" s="10" t="s">
        <v>27</v>
      </c>
      <c r="F193" s="10" t="s">
        <v>37</v>
      </c>
      <c r="G193" s="10" t="s">
        <v>54</v>
      </c>
      <c r="H193" s="10">
        <v>5000</v>
      </c>
      <c r="I193" s="6">
        <v>3</v>
      </c>
      <c r="J193" s="6">
        <f>H193*I193</f>
        <v>15000</v>
      </c>
    </row>
    <row r="194" spans="2:10" ht="20.100000000000001" customHeight="1" x14ac:dyDescent="0.25">
      <c r="B194" s="4">
        <v>44941</v>
      </c>
      <c r="C194" s="8" t="str">
        <f>"Ord-01-23-"&amp;TEXT(ROW(C76),"000")</f>
        <v>Ord-01-23-076</v>
      </c>
      <c r="D194" s="6" t="s">
        <v>17</v>
      </c>
      <c r="E194" s="10" t="s">
        <v>32</v>
      </c>
      <c r="F194" s="10" t="s">
        <v>51</v>
      </c>
      <c r="G194" s="10" t="s">
        <v>72</v>
      </c>
      <c r="H194" s="10">
        <v>2200</v>
      </c>
      <c r="I194" s="6">
        <v>1</v>
      </c>
      <c r="J194" s="6">
        <f>H194*I194</f>
        <v>2200</v>
      </c>
    </row>
    <row r="195" spans="2:10" ht="20.100000000000001" customHeight="1" x14ac:dyDescent="0.25">
      <c r="B195" s="4">
        <v>44941</v>
      </c>
      <c r="C195" s="8" t="str">
        <f>"Ord-01-23-"&amp;TEXT(ROW(C77),"000")</f>
        <v>Ord-01-23-077</v>
      </c>
      <c r="D195" s="6" t="s">
        <v>7</v>
      </c>
      <c r="E195" s="10" t="s">
        <v>33</v>
      </c>
      <c r="F195" s="10" t="s">
        <v>46</v>
      </c>
      <c r="G195" s="10" t="s">
        <v>65</v>
      </c>
      <c r="H195" s="10">
        <v>15</v>
      </c>
      <c r="I195" s="6">
        <v>600</v>
      </c>
      <c r="J195" s="6">
        <f>H195*I195</f>
        <v>9000</v>
      </c>
    </row>
    <row r="196" spans="2:10" ht="20.100000000000001" customHeight="1" x14ac:dyDescent="0.25">
      <c r="B196" s="4">
        <v>44941</v>
      </c>
      <c r="C196" s="8" t="str">
        <f>"Ord-01-23-"&amp;TEXT(ROW(C78),"000")</f>
        <v>Ord-01-23-078</v>
      </c>
      <c r="D196" s="6" t="s">
        <v>13</v>
      </c>
      <c r="E196" s="10" t="s">
        <v>27</v>
      </c>
      <c r="F196" s="10" t="s">
        <v>42</v>
      </c>
      <c r="G196" s="10" t="s">
        <v>42</v>
      </c>
      <c r="H196" s="10">
        <v>2500</v>
      </c>
      <c r="I196" s="6">
        <v>3</v>
      </c>
      <c r="J196" s="6">
        <f>H196*I196</f>
        <v>7500</v>
      </c>
    </row>
    <row r="197" spans="2:10" ht="20.100000000000001" customHeight="1" x14ac:dyDescent="0.25">
      <c r="B197" s="4">
        <v>44941</v>
      </c>
      <c r="C197" s="8" t="str">
        <f>"Ord-01-23-"&amp;TEXT(ROW(C79),"000")</f>
        <v>Ord-01-23-079</v>
      </c>
      <c r="D197" s="6" t="s">
        <v>26</v>
      </c>
      <c r="E197" s="10" t="s">
        <v>27</v>
      </c>
      <c r="F197" s="10" t="s">
        <v>38</v>
      </c>
      <c r="G197" s="10" t="s">
        <v>53</v>
      </c>
      <c r="H197" s="10">
        <v>5500</v>
      </c>
      <c r="I197" s="6">
        <v>1</v>
      </c>
      <c r="J197" s="6">
        <f>H197*I197</f>
        <v>5500</v>
      </c>
    </row>
    <row r="198" spans="2:10" ht="20.100000000000001" customHeight="1" x14ac:dyDescent="0.25">
      <c r="B198" s="4">
        <v>44941</v>
      </c>
      <c r="C198" s="8" t="str">
        <f>"Ord-01-23-"&amp;TEXT(ROW(C80),"000")</f>
        <v>Ord-01-23-080</v>
      </c>
      <c r="D198" s="6" t="s">
        <v>21</v>
      </c>
      <c r="E198" s="10" t="s">
        <v>34</v>
      </c>
      <c r="F198" s="10" t="s">
        <v>49</v>
      </c>
      <c r="G198" s="10" t="s">
        <v>68</v>
      </c>
      <c r="H198" s="10">
        <v>4000</v>
      </c>
      <c r="I198" s="6">
        <v>4</v>
      </c>
      <c r="J198" s="6">
        <f>H198*I198</f>
        <v>16000</v>
      </c>
    </row>
    <row r="199" spans="2:10" ht="20.100000000000001" customHeight="1" x14ac:dyDescent="0.25">
      <c r="B199" s="4">
        <v>44942</v>
      </c>
      <c r="C199" s="8" t="str">
        <f>"Ord-01-23-"&amp;TEXT(ROW(C81),"000")</f>
        <v>Ord-01-23-081</v>
      </c>
      <c r="D199" s="6" t="s">
        <v>18</v>
      </c>
      <c r="E199" s="10" t="s">
        <v>35</v>
      </c>
      <c r="F199" s="12" t="s">
        <v>90</v>
      </c>
      <c r="G199" s="10" t="s">
        <v>77</v>
      </c>
      <c r="H199" s="10">
        <v>8500</v>
      </c>
      <c r="I199" s="6">
        <v>2</v>
      </c>
      <c r="J199" s="6">
        <f>H199*I199</f>
        <v>17000</v>
      </c>
    </row>
    <row r="200" spans="2:10" ht="20.100000000000001" customHeight="1" x14ac:dyDescent="0.25">
      <c r="B200" s="4">
        <v>44942</v>
      </c>
      <c r="C200" s="8" t="str">
        <f>"Ord-01-23-"&amp;TEXT(ROW(C82),"000")</f>
        <v>Ord-01-23-082</v>
      </c>
      <c r="D200" s="6" t="s">
        <v>11</v>
      </c>
      <c r="E200" s="10" t="s">
        <v>31</v>
      </c>
      <c r="F200" s="10" t="s">
        <v>52</v>
      </c>
      <c r="G200" s="10" t="s">
        <v>67</v>
      </c>
      <c r="H200" s="10">
        <v>4000</v>
      </c>
      <c r="I200" s="6">
        <v>3</v>
      </c>
      <c r="J200" s="6">
        <f>H200*I200</f>
        <v>12000</v>
      </c>
    </row>
    <row r="201" spans="2:10" ht="20.100000000000001" customHeight="1" x14ac:dyDescent="0.25">
      <c r="B201" s="4">
        <v>44942</v>
      </c>
      <c r="C201" s="8" t="str">
        <f>"Ord-01-23-"&amp;TEXT(ROW(C83),"000")</f>
        <v>Ord-01-23-083</v>
      </c>
      <c r="D201" s="6" t="s">
        <v>24</v>
      </c>
      <c r="E201" s="10" t="s">
        <v>36</v>
      </c>
      <c r="F201" s="10" t="s">
        <v>36</v>
      </c>
      <c r="G201" s="10" t="s">
        <v>85</v>
      </c>
      <c r="H201" s="10">
        <v>2200</v>
      </c>
      <c r="I201" s="6">
        <v>2</v>
      </c>
      <c r="J201" s="6">
        <f>H201*I201</f>
        <v>4400</v>
      </c>
    </row>
    <row r="202" spans="2:10" ht="20.100000000000001" customHeight="1" x14ac:dyDescent="0.25">
      <c r="B202" s="4">
        <v>44942</v>
      </c>
      <c r="C202" s="8" t="str">
        <f>"Ord-01-23-"&amp;TEXT(ROW(C84),"000")</f>
        <v>Ord-01-23-084</v>
      </c>
      <c r="D202" s="6" t="s">
        <v>9</v>
      </c>
      <c r="E202" s="10" t="s">
        <v>29</v>
      </c>
      <c r="F202" s="10" t="s">
        <v>39</v>
      </c>
      <c r="G202" s="10" t="s">
        <v>60</v>
      </c>
      <c r="H202" s="10">
        <v>1500</v>
      </c>
      <c r="I202" s="6">
        <v>1</v>
      </c>
      <c r="J202" s="6">
        <f>H202*I202</f>
        <v>1500</v>
      </c>
    </row>
    <row r="203" spans="2:10" ht="20.100000000000001" customHeight="1" x14ac:dyDescent="0.25">
      <c r="B203" s="4">
        <v>44942</v>
      </c>
      <c r="C203" s="8" t="str">
        <f>"Ord-01-23-"&amp;TEXT(ROW(C85),"000")</f>
        <v>Ord-01-23-085</v>
      </c>
      <c r="D203" s="6" t="s">
        <v>21</v>
      </c>
      <c r="E203" s="10" t="s">
        <v>27</v>
      </c>
      <c r="F203" s="10" t="s">
        <v>38</v>
      </c>
      <c r="G203" s="10" t="s">
        <v>64</v>
      </c>
      <c r="H203" s="10">
        <v>4800</v>
      </c>
      <c r="I203" s="6">
        <v>1</v>
      </c>
      <c r="J203" s="6">
        <f>H203*I203</f>
        <v>4800</v>
      </c>
    </row>
    <row r="204" spans="2:10" ht="20.100000000000001" customHeight="1" x14ac:dyDescent="0.25">
      <c r="B204" s="4">
        <v>44943</v>
      </c>
      <c r="C204" s="8" t="str">
        <f>"Ord-01-23-"&amp;TEXT(ROW(C86),"000")</f>
        <v>Ord-01-23-086</v>
      </c>
      <c r="D204" s="6" t="s">
        <v>16</v>
      </c>
      <c r="E204" s="10" t="s">
        <v>32</v>
      </c>
      <c r="F204" s="10" t="s">
        <v>44</v>
      </c>
      <c r="G204" s="10" t="s">
        <v>72</v>
      </c>
      <c r="H204" s="10">
        <v>2200</v>
      </c>
      <c r="I204" s="6">
        <v>5</v>
      </c>
      <c r="J204" s="6">
        <f>H204*I204</f>
        <v>11000</v>
      </c>
    </row>
    <row r="205" spans="2:10" ht="20.100000000000001" customHeight="1" x14ac:dyDescent="0.25">
      <c r="B205" s="4">
        <v>44943</v>
      </c>
      <c r="C205" s="8" t="str">
        <f>"Ord-01-23-"&amp;TEXT(ROW(C87),"000")</f>
        <v>Ord-01-23-087</v>
      </c>
      <c r="D205" s="6" t="s">
        <v>15</v>
      </c>
      <c r="E205" s="10" t="s">
        <v>33</v>
      </c>
      <c r="F205" s="10" t="s">
        <v>47</v>
      </c>
      <c r="G205" s="10" t="s">
        <v>65</v>
      </c>
      <c r="H205" s="10">
        <v>25</v>
      </c>
      <c r="I205" s="6">
        <v>1000</v>
      </c>
      <c r="J205" s="6">
        <f>H205*I205</f>
        <v>25000</v>
      </c>
    </row>
    <row r="206" spans="2:10" ht="20.100000000000001" customHeight="1" x14ac:dyDescent="0.25">
      <c r="B206" s="4">
        <v>44943</v>
      </c>
      <c r="C206" s="8" t="str">
        <f>"Ord-01-23-"&amp;TEXT(ROW(C88),"000")</f>
        <v>Ord-01-23-088</v>
      </c>
      <c r="D206" s="6" t="s">
        <v>8</v>
      </c>
      <c r="E206" s="10" t="s">
        <v>31</v>
      </c>
      <c r="F206" s="10" t="s">
        <v>45</v>
      </c>
      <c r="G206" s="10" t="s">
        <v>67</v>
      </c>
      <c r="H206" s="10">
        <v>8500</v>
      </c>
      <c r="I206" s="6">
        <v>2</v>
      </c>
      <c r="J206" s="6">
        <f>H206*I206</f>
        <v>17000</v>
      </c>
    </row>
    <row r="207" spans="2:10" ht="20.100000000000001" customHeight="1" x14ac:dyDescent="0.25">
      <c r="B207" s="4">
        <v>44943</v>
      </c>
      <c r="C207" s="8" t="str">
        <f>"Ord-01-23-"&amp;TEXT(ROW(C89),"000")</f>
        <v>Ord-01-23-089</v>
      </c>
      <c r="D207" s="6" t="s">
        <v>13</v>
      </c>
      <c r="E207" s="10" t="s">
        <v>29</v>
      </c>
      <c r="F207" s="10" t="s">
        <v>40</v>
      </c>
      <c r="G207" s="10" t="s">
        <v>84</v>
      </c>
      <c r="H207" s="10">
        <v>7500</v>
      </c>
      <c r="I207" s="6">
        <v>5</v>
      </c>
      <c r="J207" s="6">
        <f>H207*I207</f>
        <v>37500</v>
      </c>
    </row>
    <row r="208" spans="2:10" ht="20.100000000000001" customHeight="1" x14ac:dyDescent="0.25">
      <c r="B208" s="4">
        <v>44943</v>
      </c>
      <c r="C208" s="8" t="str">
        <f>"Ord-01-23-"&amp;TEXT(ROW(C90),"000")</f>
        <v>Ord-01-23-090</v>
      </c>
      <c r="D208" s="6" t="s">
        <v>19</v>
      </c>
      <c r="E208" s="10" t="s">
        <v>27</v>
      </c>
      <c r="F208" s="10" t="s">
        <v>42</v>
      </c>
      <c r="G208" s="10" t="s">
        <v>42</v>
      </c>
      <c r="H208" s="10">
        <v>2500</v>
      </c>
      <c r="I208" s="6">
        <v>4</v>
      </c>
      <c r="J208" s="6">
        <f>H208*I208</f>
        <v>10000</v>
      </c>
    </row>
    <row r="209" spans="2:10" ht="20.100000000000001" customHeight="1" x14ac:dyDescent="0.25">
      <c r="B209" s="4">
        <v>44944</v>
      </c>
      <c r="C209" s="8" t="str">
        <f>"Ord-01-23-"&amp;TEXT(ROW(C91),"000")</f>
        <v>Ord-01-23-091</v>
      </c>
      <c r="D209" s="6" t="s">
        <v>14</v>
      </c>
      <c r="E209" s="10" t="s">
        <v>32</v>
      </c>
      <c r="F209" s="10" t="s">
        <v>51</v>
      </c>
      <c r="G209" s="10" t="s">
        <v>70</v>
      </c>
      <c r="H209" s="10">
        <v>2600</v>
      </c>
      <c r="I209" s="6">
        <v>1</v>
      </c>
      <c r="J209" s="6">
        <f>H209*I209</f>
        <v>2600</v>
      </c>
    </row>
    <row r="210" spans="2:10" ht="20.100000000000001" customHeight="1" x14ac:dyDescent="0.25">
      <c r="B210" s="4">
        <v>44944</v>
      </c>
      <c r="C210" s="8" t="str">
        <f>"Ord-01-23-"&amp;TEXT(ROW(C92),"000")</f>
        <v>Ord-01-23-092</v>
      </c>
      <c r="D210" s="6" t="s">
        <v>21</v>
      </c>
      <c r="E210" s="10" t="s">
        <v>32</v>
      </c>
      <c r="F210" s="10" t="s">
        <v>51</v>
      </c>
      <c r="G210" s="10" t="s">
        <v>81</v>
      </c>
      <c r="H210" s="10">
        <v>3000</v>
      </c>
      <c r="I210" s="6">
        <v>3</v>
      </c>
      <c r="J210" s="6">
        <f>H210*I210</f>
        <v>9000</v>
      </c>
    </row>
    <row r="211" spans="2:10" ht="20.100000000000001" customHeight="1" x14ac:dyDescent="0.25">
      <c r="B211" s="4">
        <v>44944</v>
      </c>
      <c r="C211" s="8" t="str">
        <f>"Ord-01-23-"&amp;TEXT(ROW(C93),"000")</f>
        <v>Ord-01-23-093</v>
      </c>
      <c r="D211" s="6" t="s">
        <v>9</v>
      </c>
      <c r="E211" s="10" t="s">
        <v>31</v>
      </c>
      <c r="F211" s="10" t="s">
        <v>52</v>
      </c>
      <c r="G211" s="10" t="s">
        <v>69</v>
      </c>
      <c r="H211" s="10">
        <v>3500</v>
      </c>
      <c r="I211" s="6">
        <v>1</v>
      </c>
      <c r="J211" s="6">
        <f>H211*I211</f>
        <v>3500</v>
      </c>
    </row>
    <row r="212" spans="2:10" ht="20.100000000000001" customHeight="1" x14ac:dyDescent="0.25">
      <c r="B212" s="4">
        <v>44944</v>
      </c>
      <c r="C212" s="8" t="str">
        <f>"Ord-01-23-"&amp;TEXT(ROW(C94),"000")</f>
        <v>Ord-01-23-094</v>
      </c>
      <c r="D212" s="6" t="s">
        <v>24</v>
      </c>
      <c r="E212" s="10" t="s">
        <v>29</v>
      </c>
      <c r="F212" s="10" t="s">
        <v>40</v>
      </c>
      <c r="G212" s="10" t="s">
        <v>84</v>
      </c>
      <c r="H212" s="10">
        <v>7500</v>
      </c>
      <c r="I212" s="6">
        <v>3</v>
      </c>
      <c r="J212" s="6">
        <f>H212*I212</f>
        <v>22500</v>
      </c>
    </row>
    <row r="213" spans="2:10" ht="20.100000000000001" customHeight="1" x14ac:dyDescent="0.25">
      <c r="B213" s="4">
        <v>44944</v>
      </c>
      <c r="C213" s="8" t="str">
        <f>"Ord-01-23-"&amp;TEXT(ROW(C95),"000")</f>
        <v>Ord-01-23-095</v>
      </c>
      <c r="D213" s="6" t="s">
        <v>10</v>
      </c>
      <c r="E213" s="10" t="s">
        <v>30</v>
      </c>
      <c r="F213" s="10" t="s">
        <v>90</v>
      </c>
      <c r="G213" s="10" t="s">
        <v>86</v>
      </c>
      <c r="H213" s="10">
        <v>7500</v>
      </c>
      <c r="I213" s="6">
        <v>3</v>
      </c>
      <c r="J213" s="6">
        <f>H213*I213</f>
        <v>22500</v>
      </c>
    </row>
    <row r="214" spans="2:10" ht="20.100000000000001" customHeight="1" x14ac:dyDescent="0.25">
      <c r="B214" s="4">
        <v>44945</v>
      </c>
      <c r="C214" s="8" t="str">
        <f>"Ord-01-23-"&amp;TEXT(ROW(C96),"000")</f>
        <v>Ord-01-23-096</v>
      </c>
      <c r="D214" s="6" t="s">
        <v>7</v>
      </c>
      <c r="E214" s="10" t="s">
        <v>28</v>
      </c>
      <c r="F214" s="10" t="s">
        <v>28</v>
      </c>
      <c r="G214" s="10" t="s">
        <v>58</v>
      </c>
      <c r="H214" s="10">
        <v>1000</v>
      </c>
      <c r="I214" s="6">
        <v>1</v>
      </c>
      <c r="J214" s="6">
        <f>H214*I214</f>
        <v>1000</v>
      </c>
    </row>
    <row r="215" spans="2:10" ht="20.100000000000001" customHeight="1" x14ac:dyDescent="0.25">
      <c r="B215" s="4">
        <v>44945</v>
      </c>
      <c r="C215" s="8" t="str">
        <f>"Ord-01-23-"&amp;TEXT(ROW(C97),"000")</f>
        <v>Ord-01-23-097</v>
      </c>
      <c r="D215" s="6" t="s">
        <v>17</v>
      </c>
      <c r="E215" s="10" t="s">
        <v>31</v>
      </c>
      <c r="F215" s="10" t="s">
        <v>52</v>
      </c>
      <c r="G215" s="10" t="s">
        <v>69</v>
      </c>
      <c r="H215" s="10">
        <v>3500</v>
      </c>
      <c r="I215" s="6">
        <v>4</v>
      </c>
      <c r="J215" s="6">
        <f>H215*I215</f>
        <v>14000</v>
      </c>
    </row>
    <row r="216" spans="2:10" ht="20.100000000000001" customHeight="1" x14ac:dyDescent="0.25">
      <c r="B216" s="4">
        <v>44945</v>
      </c>
      <c r="C216" s="8" t="str">
        <f>"Ord-01-23-"&amp;TEXT(ROW(C98),"000")</f>
        <v>Ord-01-23-098</v>
      </c>
      <c r="D216" s="6" t="s">
        <v>14</v>
      </c>
      <c r="E216" s="10" t="s">
        <v>27</v>
      </c>
      <c r="F216" s="10" t="s">
        <v>42</v>
      </c>
      <c r="G216" s="10" t="s">
        <v>42</v>
      </c>
      <c r="H216" s="10">
        <v>2500</v>
      </c>
      <c r="I216" s="6">
        <v>4</v>
      </c>
      <c r="J216" s="6">
        <f>H216*I216</f>
        <v>10000</v>
      </c>
    </row>
    <row r="217" spans="2:10" ht="20.100000000000001" customHeight="1" x14ac:dyDescent="0.25">
      <c r="B217" s="4">
        <v>44945</v>
      </c>
      <c r="C217" s="8" t="str">
        <f>"Ord-01-23-"&amp;TEXT(ROW(C99),"000")</f>
        <v>Ord-01-23-099</v>
      </c>
      <c r="D217" s="6" t="s">
        <v>14</v>
      </c>
      <c r="E217" s="10" t="s">
        <v>27</v>
      </c>
      <c r="F217" s="10" t="s">
        <v>38</v>
      </c>
      <c r="G217" s="10" t="s">
        <v>54</v>
      </c>
      <c r="H217" s="10">
        <v>5200</v>
      </c>
      <c r="I217" s="6">
        <v>5</v>
      </c>
      <c r="J217" s="6">
        <f>H217*I217</f>
        <v>26000</v>
      </c>
    </row>
    <row r="218" spans="2:10" ht="20.100000000000001" customHeight="1" x14ac:dyDescent="0.25">
      <c r="B218" s="4">
        <v>44945</v>
      </c>
      <c r="C218" s="8" t="str">
        <f>"Ord-01-23-"&amp;TEXT(ROW(C100),"000")</f>
        <v>Ord-01-23-100</v>
      </c>
      <c r="D218" s="6" t="s">
        <v>14</v>
      </c>
      <c r="E218" s="10" t="s">
        <v>27</v>
      </c>
      <c r="F218" s="10" t="s">
        <v>41</v>
      </c>
      <c r="G218" s="10" t="s">
        <v>54</v>
      </c>
      <c r="H218" s="10">
        <v>2800</v>
      </c>
      <c r="I218" s="6">
        <v>2</v>
      </c>
      <c r="J218" s="6">
        <f>H218*I218</f>
        <v>5600</v>
      </c>
    </row>
    <row r="219" spans="2:10" ht="20.100000000000001" customHeight="1" x14ac:dyDescent="0.25">
      <c r="B219" s="4">
        <v>44946</v>
      </c>
      <c r="C219" s="8" t="str">
        <f>"Ord-01-23-"&amp;TEXT(ROW(C101),"000")</f>
        <v>Ord-01-23-101</v>
      </c>
      <c r="D219" s="6" t="s">
        <v>9</v>
      </c>
      <c r="E219" s="10" t="s">
        <v>32</v>
      </c>
      <c r="F219" s="10" t="s">
        <v>51</v>
      </c>
      <c r="G219" s="10" t="s">
        <v>83</v>
      </c>
      <c r="H219" s="10">
        <v>4000</v>
      </c>
      <c r="I219" s="6">
        <v>5</v>
      </c>
      <c r="J219" s="6">
        <f>H219*I219</f>
        <v>20000</v>
      </c>
    </row>
    <row r="220" spans="2:10" ht="20.100000000000001" customHeight="1" x14ac:dyDescent="0.25">
      <c r="B220" s="4">
        <v>44946</v>
      </c>
      <c r="C220" s="8" t="str">
        <f>"Ord-01-23-"&amp;TEXT(ROW(C102),"000")</f>
        <v>Ord-01-23-102</v>
      </c>
      <c r="D220" s="6" t="s">
        <v>20</v>
      </c>
      <c r="E220" s="10" t="s">
        <v>31</v>
      </c>
      <c r="F220" s="10" t="s">
        <v>48</v>
      </c>
      <c r="G220" s="10" t="s">
        <v>63</v>
      </c>
      <c r="H220" s="10">
        <v>3000</v>
      </c>
      <c r="I220" s="6">
        <v>2</v>
      </c>
      <c r="J220" s="6">
        <f>H220*I220</f>
        <v>6000</v>
      </c>
    </row>
    <row r="221" spans="2:10" ht="20.100000000000001" customHeight="1" x14ac:dyDescent="0.25">
      <c r="B221" s="4">
        <v>44946</v>
      </c>
      <c r="C221" s="8" t="str">
        <f>"Ord-01-23-"&amp;TEXT(ROW(C103),"000")</f>
        <v>Ord-01-23-103</v>
      </c>
      <c r="D221" s="6" t="s">
        <v>7</v>
      </c>
      <c r="E221" s="10" t="s">
        <v>31</v>
      </c>
      <c r="F221" s="10" t="s">
        <v>48</v>
      </c>
      <c r="G221" s="10" t="s">
        <v>66</v>
      </c>
      <c r="H221" s="10">
        <v>3500</v>
      </c>
      <c r="I221" s="6">
        <v>1</v>
      </c>
      <c r="J221" s="6">
        <f>H221*I221</f>
        <v>3500</v>
      </c>
    </row>
    <row r="222" spans="2:10" ht="20.100000000000001" customHeight="1" x14ac:dyDescent="0.25">
      <c r="B222" s="4">
        <v>44946</v>
      </c>
      <c r="C222" s="8" t="str">
        <f>"Ord-01-23-"&amp;TEXT(ROW(C104),"000")</f>
        <v>Ord-01-23-104</v>
      </c>
      <c r="D222" s="6" t="s">
        <v>22</v>
      </c>
      <c r="E222" s="10" t="s">
        <v>30</v>
      </c>
      <c r="F222" s="10" t="s">
        <v>90</v>
      </c>
      <c r="G222" s="10" t="s">
        <v>59</v>
      </c>
      <c r="H222" s="10">
        <v>4800</v>
      </c>
      <c r="I222" s="6">
        <v>5</v>
      </c>
      <c r="J222" s="6">
        <f>H222*I222</f>
        <v>24000</v>
      </c>
    </row>
    <row r="223" spans="2:10" ht="20.100000000000001" customHeight="1" x14ac:dyDescent="0.25">
      <c r="B223" s="4">
        <v>44946</v>
      </c>
      <c r="C223" s="8" t="str">
        <f>"Ord-01-23-"&amp;TEXT(ROW(C105),"000")</f>
        <v>Ord-01-23-105</v>
      </c>
      <c r="D223" s="6" t="s">
        <v>10</v>
      </c>
      <c r="E223" s="10" t="s">
        <v>27</v>
      </c>
      <c r="F223" s="10" t="s">
        <v>37</v>
      </c>
      <c r="G223" s="10" t="s">
        <v>53</v>
      </c>
      <c r="H223" s="10">
        <v>5200</v>
      </c>
      <c r="I223" s="6">
        <v>2</v>
      </c>
      <c r="J223" s="6">
        <f>H223*I223</f>
        <v>10400</v>
      </c>
    </row>
    <row r="224" spans="2:10" ht="20.100000000000001" customHeight="1" x14ac:dyDescent="0.25">
      <c r="B224" s="4">
        <v>44947</v>
      </c>
      <c r="C224" s="8" t="str">
        <f>"Ord-01-23-"&amp;TEXT(ROW(C106),"000")</f>
        <v>Ord-01-23-106</v>
      </c>
      <c r="D224" s="6" t="s">
        <v>11</v>
      </c>
      <c r="E224" s="10" t="s">
        <v>32</v>
      </c>
      <c r="F224" s="10" t="s">
        <v>51</v>
      </c>
      <c r="G224" s="10" t="s">
        <v>83</v>
      </c>
      <c r="H224" s="10">
        <v>4000</v>
      </c>
      <c r="I224" s="6">
        <v>4</v>
      </c>
      <c r="J224" s="6">
        <f>H224*I224</f>
        <v>16000</v>
      </c>
    </row>
    <row r="225" spans="2:10" ht="20.100000000000001" customHeight="1" x14ac:dyDescent="0.25">
      <c r="B225" s="4">
        <v>44947</v>
      </c>
      <c r="C225" s="8" t="str">
        <f>"Ord-01-23-"&amp;TEXT(ROW(C107),"000")</f>
        <v>Ord-01-23-107</v>
      </c>
      <c r="D225" s="6" t="s">
        <v>26</v>
      </c>
      <c r="E225" s="10" t="s">
        <v>31</v>
      </c>
      <c r="F225" s="10" t="s">
        <v>45</v>
      </c>
      <c r="G225" s="10" t="s">
        <v>59</v>
      </c>
      <c r="H225" s="10">
        <v>4000</v>
      </c>
      <c r="I225" s="6">
        <v>5</v>
      </c>
      <c r="J225" s="6">
        <f>H225*I225</f>
        <v>20000</v>
      </c>
    </row>
    <row r="226" spans="2:10" ht="20.100000000000001" customHeight="1" x14ac:dyDescent="0.25">
      <c r="B226" s="4">
        <v>44947</v>
      </c>
      <c r="C226" s="8" t="str">
        <f>"Ord-01-23-"&amp;TEXT(ROW(C108),"000")</f>
        <v>Ord-01-23-108</v>
      </c>
      <c r="D226" s="6" t="s">
        <v>10</v>
      </c>
      <c r="E226" s="10" t="s">
        <v>31</v>
      </c>
      <c r="F226" s="10" t="s">
        <v>48</v>
      </c>
      <c r="G226" s="10" t="s">
        <v>67</v>
      </c>
      <c r="H226" s="10">
        <v>8000</v>
      </c>
      <c r="I226" s="6">
        <v>2</v>
      </c>
      <c r="J226" s="6">
        <f>H226*I226</f>
        <v>16000</v>
      </c>
    </row>
    <row r="227" spans="2:10" ht="20.100000000000001" customHeight="1" x14ac:dyDescent="0.25">
      <c r="B227" s="4">
        <v>44947</v>
      </c>
      <c r="C227" s="8" t="str">
        <f>"Ord-01-23-"&amp;TEXT(ROW(C109),"000")</f>
        <v>Ord-01-23-109</v>
      </c>
      <c r="D227" s="6" t="s">
        <v>21</v>
      </c>
      <c r="E227" s="10" t="s">
        <v>31</v>
      </c>
      <c r="F227" s="10" t="s">
        <v>48</v>
      </c>
      <c r="G227" s="10" t="s">
        <v>82</v>
      </c>
      <c r="H227" s="10">
        <v>8500</v>
      </c>
      <c r="I227" s="6">
        <v>2</v>
      </c>
      <c r="J227" s="6">
        <f>H227*I227</f>
        <v>17000</v>
      </c>
    </row>
    <row r="228" spans="2:10" ht="20.100000000000001" customHeight="1" x14ac:dyDescent="0.25">
      <c r="B228" s="4">
        <v>44947</v>
      </c>
      <c r="C228" s="8" t="str">
        <f>"Ord-01-23-"&amp;TEXT(ROW(C110),"000")</f>
        <v>Ord-01-23-110</v>
      </c>
      <c r="D228" s="6" t="s">
        <v>11</v>
      </c>
      <c r="E228" s="10" t="s">
        <v>36</v>
      </c>
      <c r="F228" s="10" t="s">
        <v>36</v>
      </c>
      <c r="G228" s="10" t="s">
        <v>78</v>
      </c>
      <c r="H228" s="10">
        <v>2500</v>
      </c>
      <c r="I228" s="6">
        <v>3</v>
      </c>
      <c r="J228" s="6">
        <f>H228*I228</f>
        <v>7500</v>
      </c>
    </row>
    <row r="229" spans="2:10" ht="20.100000000000001" customHeight="1" x14ac:dyDescent="0.25">
      <c r="B229" s="4">
        <v>44948</v>
      </c>
      <c r="C229" s="8" t="str">
        <f>"Ord-01-23-"&amp;TEXT(ROW(C111),"000")</f>
        <v>Ord-01-23-111</v>
      </c>
      <c r="D229" s="6" t="s">
        <v>9</v>
      </c>
      <c r="E229" s="10" t="s">
        <v>33</v>
      </c>
      <c r="F229" s="10" t="s">
        <v>47</v>
      </c>
      <c r="G229" s="10" t="s">
        <v>65</v>
      </c>
      <c r="H229" s="10">
        <v>25</v>
      </c>
      <c r="I229" s="6">
        <v>500</v>
      </c>
      <c r="J229" s="6">
        <f>H229*I229</f>
        <v>12500</v>
      </c>
    </row>
    <row r="230" spans="2:10" ht="20.100000000000001" customHeight="1" x14ac:dyDescent="0.25">
      <c r="B230" s="4">
        <v>44948</v>
      </c>
      <c r="C230" s="8" t="str">
        <f>"Ord-01-23-"&amp;TEXT(ROW(C112),"000")</f>
        <v>Ord-01-23-112</v>
      </c>
      <c r="D230" s="6" t="s">
        <v>7</v>
      </c>
      <c r="E230" s="10" t="s">
        <v>31</v>
      </c>
      <c r="F230" s="10" t="s">
        <v>52</v>
      </c>
      <c r="G230" s="10" t="s">
        <v>66</v>
      </c>
      <c r="H230" s="10">
        <v>3200</v>
      </c>
      <c r="I230" s="6">
        <v>3</v>
      </c>
      <c r="J230" s="6">
        <f>H230*I230</f>
        <v>9600</v>
      </c>
    </row>
    <row r="231" spans="2:10" ht="20.100000000000001" customHeight="1" x14ac:dyDescent="0.25">
      <c r="B231" s="4">
        <v>44948</v>
      </c>
      <c r="C231" s="8" t="str">
        <f>"Ord-01-23-"&amp;TEXT(ROW(C113),"000")</f>
        <v>Ord-01-23-113</v>
      </c>
      <c r="D231" s="6" t="s">
        <v>10</v>
      </c>
      <c r="E231" s="10" t="s">
        <v>29</v>
      </c>
      <c r="F231" s="10" t="s">
        <v>40</v>
      </c>
      <c r="G231" s="10" t="s">
        <v>84</v>
      </c>
      <c r="H231" s="10">
        <v>7500</v>
      </c>
      <c r="I231" s="6">
        <v>1</v>
      </c>
      <c r="J231" s="6">
        <f>H231*I231</f>
        <v>7500</v>
      </c>
    </row>
    <row r="232" spans="2:10" ht="20.100000000000001" customHeight="1" x14ac:dyDescent="0.25">
      <c r="B232" s="4">
        <v>44948</v>
      </c>
      <c r="C232" s="8" t="str">
        <f>"Ord-01-23-"&amp;TEXT(ROW(C114),"000")</f>
        <v>Ord-01-23-114</v>
      </c>
      <c r="D232" s="6" t="s">
        <v>21</v>
      </c>
      <c r="E232" s="10" t="s">
        <v>30</v>
      </c>
      <c r="F232" s="10" t="s">
        <v>90</v>
      </c>
      <c r="G232" s="10" t="s">
        <v>86</v>
      </c>
      <c r="H232" s="10">
        <v>7500</v>
      </c>
      <c r="I232" s="6">
        <v>2</v>
      </c>
      <c r="J232" s="6">
        <f>H232*I232</f>
        <v>15000</v>
      </c>
    </row>
    <row r="233" spans="2:10" ht="20.100000000000001" customHeight="1" x14ac:dyDescent="0.25">
      <c r="B233" s="4">
        <v>44948</v>
      </c>
      <c r="C233" s="8" t="str">
        <f>"Ord-01-23-"&amp;TEXT(ROW(C115),"000")</f>
        <v>Ord-01-23-115</v>
      </c>
      <c r="D233" s="6" t="s">
        <v>23</v>
      </c>
      <c r="E233" s="10" t="s">
        <v>27</v>
      </c>
      <c r="F233" s="10" t="s">
        <v>41</v>
      </c>
      <c r="G233" s="10" t="s">
        <v>53</v>
      </c>
      <c r="H233" s="10">
        <v>3000</v>
      </c>
      <c r="I233" s="6">
        <v>3</v>
      </c>
      <c r="J233" s="6">
        <f>H233*I233</f>
        <v>9000</v>
      </c>
    </row>
    <row r="234" spans="2:10" ht="20.100000000000001" customHeight="1" x14ac:dyDescent="0.25">
      <c r="B234" s="4">
        <v>44949</v>
      </c>
      <c r="C234" s="8" t="str">
        <f>"Ord-01-23-"&amp;TEXT(ROW(C116),"000")</f>
        <v>Ord-01-23-116</v>
      </c>
      <c r="D234" s="6" t="s">
        <v>19</v>
      </c>
      <c r="E234" s="10" t="s">
        <v>33</v>
      </c>
      <c r="F234" s="10" t="s">
        <v>46</v>
      </c>
      <c r="G234" s="10" t="s">
        <v>65</v>
      </c>
      <c r="H234" s="10">
        <v>15</v>
      </c>
      <c r="I234" s="6">
        <v>800</v>
      </c>
      <c r="J234" s="6">
        <f>H234*I234</f>
        <v>12000</v>
      </c>
    </row>
    <row r="235" spans="2:10" ht="20.100000000000001" customHeight="1" x14ac:dyDescent="0.25">
      <c r="B235" s="4">
        <v>44949</v>
      </c>
      <c r="C235" s="8" t="str">
        <f>"Ord-01-23-"&amp;TEXT(ROW(C117),"000")</f>
        <v>Ord-01-23-117</v>
      </c>
      <c r="D235" s="6" t="s">
        <v>9</v>
      </c>
      <c r="E235" s="10" t="s">
        <v>31</v>
      </c>
      <c r="F235" s="10" t="s">
        <v>52</v>
      </c>
      <c r="G235" s="10" t="s">
        <v>66</v>
      </c>
      <c r="H235" s="10">
        <v>3200</v>
      </c>
      <c r="I235" s="6">
        <v>2</v>
      </c>
      <c r="J235" s="6">
        <f>H235*I235</f>
        <v>6400</v>
      </c>
    </row>
    <row r="236" spans="2:10" ht="20.100000000000001" customHeight="1" x14ac:dyDescent="0.25">
      <c r="B236" s="4">
        <v>44949</v>
      </c>
      <c r="C236" s="8" t="str">
        <f>"Ord-01-23-"&amp;TEXT(ROW(C118),"000")</f>
        <v>Ord-01-23-118</v>
      </c>
      <c r="D236" s="6" t="s">
        <v>16</v>
      </c>
      <c r="E236" s="10" t="s">
        <v>30</v>
      </c>
      <c r="F236" s="10" t="s">
        <v>90</v>
      </c>
      <c r="G236" s="10" t="s">
        <v>59</v>
      </c>
      <c r="H236" s="10">
        <v>4800</v>
      </c>
      <c r="I236" s="6">
        <v>4</v>
      </c>
      <c r="J236" s="6">
        <f>H236*I236</f>
        <v>19200</v>
      </c>
    </row>
    <row r="237" spans="2:10" ht="20.100000000000001" customHeight="1" x14ac:dyDescent="0.25">
      <c r="B237" s="4">
        <v>44949</v>
      </c>
      <c r="C237" s="8" t="str">
        <f>"Ord-01-23-"&amp;TEXT(ROW(C119),"000")</f>
        <v>Ord-01-23-119</v>
      </c>
      <c r="D237" s="6" t="s">
        <v>8</v>
      </c>
      <c r="E237" s="10" t="s">
        <v>27</v>
      </c>
      <c r="F237" s="10" t="s">
        <v>37</v>
      </c>
      <c r="G237" s="10" t="s">
        <v>64</v>
      </c>
      <c r="H237" s="10">
        <v>4500</v>
      </c>
      <c r="I237" s="6">
        <v>2</v>
      </c>
      <c r="J237" s="6">
        <f>H237*I237</f>
        <v>9000</v>
      </c>
    </row>
    <row r="238" spans="2:10" ht="20.100000000000001" customHeight="1" x14ac:dyDescent="0.25">
      <c r="B238" s="4">
        <v>44949</v>
      </c>
      <c r="C238" s="8" t="str">
        <f>"Ord-01-23-"&amp;TEXT(ROW(C120),"000")</f>
        <v>Ord-01-23-120</v>
      </c>
      <c r="D238" s="6" t="s">
        <v>10</v>
      </c>
      <c r="E238" s="10" t="s">
        <v>27</v>
      </c>
      <c r="F238" s="10" t="s">
        <v>37</v>
      </c>
      <c r="G238" s="10" t="s">
        <v>64</v>
      </c>
      <c r="H238" s="10">
        <v>4500</v>
      </c>
      <c r="I238" s="6">
        <v>3</v>
      </c>
      <c r="J238" s="6">
        <f>H238*I238</f>
        <v>13500</v>
      </c>
    </row>
    <row r="239" spans="2:10" ht="20.100000000000001" customHeight="1" x14ac:dyDescent="0.25">
      <c r="B239" s="4">
        <v>44950</v>
      </c>
      <c r="C239" s="8" t="str">
        <f>"Ord-01-23-"&amp;TEXT(ROW(C121),"000")</f>
        <v>Ord-01-23-121</v>
      </c>
      <c r="D239" s="6" t="s">
        <v>26</v>
      </c>
      <c r="E239" s="10" t="s">
        <v>33</v>
      </c>
      <c r="F239" s="10" t="s">
        <v>47</v>
      </c>
      <c r="G239" s="10" t="s">
        <v>65</v>
      </c>
      <c r="H239" s="10">
        <v>25</v>
      </c>
      <c r="I239" s="6">
        <v>500</v>
      </c>
      <c r="J239" s="6">
        <f>H239*I239</f>
        <v>12500</v>
      </c>
    </row>
    <row r="240" spans="2:10" ht="20.100000000000001" customHeight="1" x14ac:dyDescent="0.25">
      <c r="B240" s="4">
        <v>44950</v>
      </c>
      <c r="C240" s="8" t="str">
        <f>"Ord-01-23-"&amp;TEXT(ROW(C122),"000")</f>
        <v>Ord-01-23-122</v>
      </c>
      <c r="D240" s="6" t="s">
        <v>7</v>
      </c>
      <c r="E240" s="10" t="s">
        <v>30</v>
      </c>
      <c r="F240" s="10" t="s">
        <v>90</v>
      </c>
      <c r="G240" s="10" t="s">
        <v>86</v>
      </c>
      <c r="H240" s="10">
        <v>7500</v>
      </c>
      <c r="I240" s="6">
        <v>1</v>
      </c>
      <c r="J240" s="6">
        <f>H240*I240</f>
        <v>7500</v>
      </c>
    </row>
    <row r="241" spans="2:10" ht="20.100000000000001" customHeight="1" x14ac:dyDescent="0.25">
      <c r="B241" s="4">
        <v>44950</v>
      </c>
      <c r="C241" s="8" t="str">
        <f>"Ord-01-23-"&amp;TEXT(ROW(C123),"000")</f>
        <v>Ord-01-23-123</v>
      </c>
      <c r="D241" s="6" t="s">
        <v>11</v>
      </c>
      <c r="E241" s="10" t="s">
        <v>27</v>
      </c>
      <c r="F241" s="10" t="s">
        <v>42</v>
      </c>
      <c r="G241" s="10" t="s">
        <v>42</v>
      </c>
      <c r="H241" s="10">
        <v>2500</v>
      </c>
      <c r="I241" s="6">
        <v>1</v>
      </c>
      <c r="J241" s="6">
        <f>H241*I241</f>
        <v>2500</v>
      </c>
    </row>
    <row r="242" spans="2:10" ht="20.100000000000001" customHeight="1" x14ac:dyDescent="0.25">
      <c r="B242" s="4">
        <v>44950</v>
      </c>
      <c r="C242" s="8" t="str">
        <f>"Ord-01-23-"&amp;TEXT(ROW(C124),"000")</f>
        <v>Ord-01-23-124</v>
      </c>
      <c r="D242" s="6" t="s">
        <v>19</v>
      </c>
      <c r="E242" s="10" t="s">
        <v>27</v>
      </c>
      <c r="F242" s="10" t="s">
        <v>41</v>
      </c>
      <c r="G242" s="10" t="s">
        <v>54</v>
      </c>
      <c r="H242" s="10">
        <v>2800</v>
      </c>
      <c r="I242" s="6">
        <v>5</v>
      </c>
      <c r="J242" s="6">
        <f>H242*I242</f>
        <v>14000</v>
      </c>
    </row>
    <row r="243" spans="2:10" ht="20.100000000000001" customHeight="1" x14ac:dyDescent="0.25">
      <c r="B243" s="4">
        <v>44950</v>
      </c>
      <c r="C243" s="8" t="str">
        <f>"Ord-01-23-"&amp;TEXT(ROW(C125),"000")</f>
        <v>Ord-01-23-125</v>
      </c>
      <c r="D243" s="6" t="s">
        <v>20</v>
      </c>
      <c r="E243" s="10" t="s">
        <v>34</v>
      </c>
      <c r="F243" s="10" t="s">
        <v>49</v>
      </c>
      <c r="G243" s="10" t="s">
        <v>75</v>
      </c>
      <c r="H243" s="10">
        <v>4300</v>
      </c>
      <c r="I243" s="6">
        <v>1</v>
      </c>
      <c r="J243" s="6">
        <f>H243*I243</f>
        <v>4300</v>
      </c>
    </row>
    <row r="244" spans="2:10" ht="20.100000000000001" customHeight="1" x14ac:dyDescent="0.25">
      <c r="B244" s="4">
        <v>44951</v>
      </c>
      <c r="C244" s="8" t="str">
        <f>"Ord-01-23-"&amp;TEXT(ROW(C126),"000")</f>
        <v>Ord-01-23-126</v>
      </c>
      <c r="D244" s="6" t="s">
        <v>11</v>
      </c>
      <c r="E244" s="10" t="s">
        <v>32</v>
      </c>
      <c r="F244" s="10" t="s">
        <v>51</v>
      </c>
      <c r="G244" s="10" t="s">
        <v>81</v>
      </c>
      <c r="H244" s="10">
        <v>3000</v>
      </c>
      <c r="I244" s="6">
        <v>2</v>
      </c>
      <c r="J244" s="6">
        <f>H244*I244</f>
        <v>6000</v>
      </c>
    </row>
    <row r="245" spans="2:10" ht="20.100000000000001" customHeight="1" x14ac:dyDescent="0.25">
      <c r="B245" s="4">
        <v>44951</v>
      </c>
      <c r="C245" s="8" t="str">
        <f>"Ord-01-23-"&amp;TEXT(ROW(C127),"000")</f>
        <v>Ord-01-23-127</v>
      </c>
      <c r="D245" s="6" t="s">
        <v>15</v>
      </c>
      <c r="E245" s="10" t="s">
        <v>31</v>
      </c>
      <c r="F245" s="10" t="s">
        <v>43</v>
      </c>
      <c r="G245" s="10" t="s">
        <v>63</v>
      </c>
      <c r="H245" s="10">
        <v>4200</v>
      </c>
      <c r="I245" s="6">
        <v>3</v>
      </c>
      <c r="J245" s="6">
        <f>H245*I245</f>
        <v>12600</v>
      </c>
    </row>
    <row r="246" spans="2:10" ht="20.100000000000001" customHeight="1" x14ac:dyDescent="0.25">
      <c r="B246" s="4">
        <v>44951</v>
      </c>
      <c r="C246" s="8" t="str">
        <f>"Ord-01-23-"&amp;TEXT(ROW(C128),"000")</f>
        <v>Ord-01-23-128</v>
      </c>
      <c r="D246" s="6" t="s">
        <v>11</v>
      </c>
      <c r="E246" s="10" t="s">
        <v>30</v>
      </c>
      <c r="F246" s="10" t="s">
        <v>90</v>
      </c>
      <c r="G246" s="10" t="s">
        <v>86</v>
      </c>
      <c r="H246" s="10">
        <v>7500</v>
      </c>
      <c r="I246" s="6">
        <v>2</v>
      </c>
      <c r="J246" s="6">
        <f>H246*I246</f>
        <v>15000</v>
      </c>
    </row>
    <row r="247" spans="2:10" ht="20.100000000000001" customHeight="1" x14ac:dyDescent="0.25">
      <c r="B247" s="4">
        <v>44951</v>
      </c>
      <c r="C247" s="8" t="str">
        <f>"Ord-01-23-"&amp;TEXT(ROW(C129),"000")</f>
        <v>Ord-01-23-129</v>
      </c>
      <c r="D247" s="6" t="s">
        <v>16</v>
      </c>
      <c r="E247" s="10" t="s">
        <v>27</v>
      </c>
      <c r="F247" s="10" t="s">
        <v>42</v>
      </c>
      <c r="G247" s="10" t="s">
        <v>42</v>
      </c>
      <c r="H247" s="10">
        <v>2500</v>
      </c>
      <c r="I247" s="6">
        <v>2</v>
      </c>
      <c r="J247" s="6">
        <f>H247*I247</f>
        <v>5000</v>
      </c>
    </row>
    <row r="248" spans="2:10" ht="20.100000000000001" customHeight="1" x14ac:dyDescent="0.25">
      <c r="B248" s="4">
        <v>44951</v>
      </c>
      <c r="C248" s="8" t="str">
        <f>"Ord-01-23-"&amp;TEXT(ROW(C130),"000")</f>
        <v>Ord-01-23-130</v>
      </c>
      <c r="D248" s="6" t="s">
        <v>19</v>
      </c>
      <c r="E248" s="10" t="s">
        <v>27</v>
      </c>
      <c r="F248" s="10" t="s">
        <v>41</v>
      </c>
      <c r="G248" s="10" t="s">
        <v>53</v>
      </c>
      <c r="H248" s="10">
        <v>3000</v>
      </c>
      <c r="I248" s="6">
        <v>3</v>
      </c>
      <c r="J248" s="6">
        <f>H248*I248</f>
        <v>9000</v>
      </c>
    </row>
    <row r="249" spans="2:10" ht="20.100000000000001" customHeight="1" x14ac:dyDescent="0.25">
      <c r="B249" s="4">
        <v>44952</v>
      </c>
      <c r="C249" s="8" t="str">
        <f>"Ord-01-23-"&amp;TEXT(ROW(C131),"000")</f>
        <v>Ord-01-23-131</v>
      </c>
      <c r="D249" s="6" t="s">
        <v>22</v>
      </c>
      <c r="E249" s="10" t="s">
        <v>28</v>
      </c>
      <c r="F249" s="10" t="s">
        <v>28</v>
      </c>
      <c r="G249" s="10" t="s">
        <v>77</v>
      </c>
      <c r="H249" s="10">
        <v>1200</v>
      </c>
      <c r="I249" s="6">
        <v>5</v>
      </c>
      <c r="J249" s="6">
        <f>H249*I249</f>
        <v>6000</v>
      </c>
    </row>
    <row r="250" spans="2:10" ht="20.100000000000001" customHeight="1" x14ac:dyDescent="0.25">
      <c r="B250" s="4">
        <v>44952</v>
      </c>
      <c r="C250" s="8" t="str">
        <f>"Ord-01-23-"&amp;TEXT(ROW(C132),"000")</f>
        <v>Ord-01-23-132</v>
      </c>
      <c r="D250" s="6" t="s">
        <v>7</v>
      </c>
      <c r="E250" s="10" t="s">
        <v>32</v>
      </c>
      <c r="F250" s="10" t="s">
        <v>44</v>
      </c>
      <c r="G250" s="10" t="s">
        <v>74</v>
      </c>
      <c r="H250" s="10">
        <v>1800</v>
      </c>
      <c r="I250" s="6">
        <v>5</v>
      </c>
      <c r="J250" s="6">
        <f>H250*I250</f>
        <v>9000</v>
      </c>
    </row>
    <row r="251" spans="2:10" ht="20.100000000000001" customHeight="1" x14ac:dyDescent="0.25">
      <c r="B251" s="4">
        <v>44952</v>
      </c>
      <c r="C251" s="8" t="str">
        <f>"Ord-01-23-"&amp;TEXT(ROW(C133),"000")</f>
        <v>Ord-01-23-133</v>
      </c>
      <c r="D251" s="6" t="s">
        <v>13</v>
      </c>
      <c r="E251" s="10" t="s">
        <v>29</v>
      </c>
      <c r="F251" s="10" t="s">
        <v>39</v>
      </c>
      <c r="G251" s="10" t="s">
        <v>56</v>
      </c>
      <c r="H251" s="10">
        <v>2500</v>
      </c>
      <c r="I251" s="6">
        <v>2</v>
      </c>
      <c r="J251" s="6">
        <f>H251*I251</f>
        <v>5000</v>
      </c>
    </row>
    <row r="252" spans="2:10" ht="20.100000000000001" customHeight="1" x14ac:dyDescent="0.25">
      <c r="B252" s="4">
        <v>44952</v>
      </c>
      <c r="C252" s="8" t="str">
        <f>"Ord-01-23-"&amp;TEXT(ROW(C134),"000")</f>
        <v>Ord-01-23-134</v>
      </c>
      <c r="D252" s="6" t="s">
        <v>12</v>
      </c>
      <c r="E252" s="10" t="s">
        <v>30</v>
      </c>
      <c r="F252" s="10" t="s">
        <v>90</v>
      </c>
      <c r="G252" s="10" t="s">
        <v>86</v>
      </c>
      <c r="H252" s="10">
        <v>7500</v>
      </c>
      <c r="I252" s="6">
        <v>2</v>
      </c>
      <c r="J252" s="6">
        <f>H252*I252</f>
        <v>15000</v>
      </c>
    </row>
    <row r="253" spans="2:10" ht="20.100000000000001" customHeight="1" x14ac:dyDescent="0.25">
      <c r="B253" s="4">
        <v>44952</v>
      </c>
      <c r="C253" s="8" t="str">
        <f>"Ord-01-23-"&amp;TEXT(ROW(C135),"000")</f>
        <v>Ord-01-23-135</v>
      </c>
      <c r="D253" s="6" t="s">
        <v>7</v>
      </c>
      <c r="E253" s="10" t="s">
        <v>27</v>
      </c>
      <c r="F253" s="10" t="s">
        <v>38</v>
      </c>
      <c r="G253" s="10" t="s">
        <v>54</v>
      </c>
      <c r="H253" s="10">
        <v>5200</v>
      </c>
      <c r="I253" s="6">
        <v>3</v>
      </c>
      <c r="J253" s="6">
        <f>H253*I253</f>
        <v>15600</v>
      </c>
    </row>
    <row r="254" spans="2:10" ht="20.100000000000001" customHeight="1" x14ac:dyDescent="0.25">
      <c r="B254" s="4">
        <v>44953</v>
      </c>
      <c r="C254" s="8" t="str">
        <f>"Ord-01-23-"&amp;TEXT(ROW(C136),"000")</f>
        <v>Ord-01-23-136</v>
      </c>
      <c r="D254" s="6" t="s">
        <v>25</v>
      </c>
      <c r="E254" s="10" t="s">
        <v>31</v>
      </c>
      <c r="F254" s="10" t="s">
        <v>43</v>
      </c>
      <c r="G254" s="10" t="s">
        <v>82</v>
      </c>
      <c r="H254" s="10">
        <v>16000</v>
      </c>
      <c r="I254" s="6">
        <v>2</v>
      </c>
      <c r="J254" s="6">
        <f>H254*I254</f>
        <v>32000</v>
      </c>
    </row>
    <row r="255" spans="2:10" ht="20.100000000000001" customHeight="1" x14ac:dyDescent="0.25">
      <c r="B255" s="4">
        <v>44953</v>
      </c>
      <c r="C255" s="8" t="str">
        <f>"Ord-01-23-"&amp;TEXT(ROW(C137),"000")</f>
        <v>Ord-01-23-137</v>
      </c>
      <c r="D255" s="6" t="s">
        <v>17</v>
      </c>
      <c r="E255" s="10" t="s">
        <v>31</v>
      </c>
      <c r="F255" s="10" t="s">
        <v>45</v>
      </c>
      <c r="G255" s="10" t="s">
        <v>66</v>
      </c>
      <c r="H255" s="10">
        <v>2300</v>
      </c>
      <c r="I255" s="6">
        <v>3</v>
      </c>
      <c r="J255" s="6">
        <f>H255*I255</f>
        <v>6900</v>
      </c>
    </row>
    <row r="256" spans="2:10" ht="20.100000000000001" customHeight="1" x14ac:dyDescent="0.25">
      <c r="B256" s="4">
        <v>44953</v>
      </c>
      <c r="C256" s="8" t="str">
        <f>"Ord-01-23-"&amp;TEXT(ROW(C138),"000")</f>
        <v>Ord-01-23-138</v>
      </c>
      <c r="D256" s="6" t="s">
        <v>21</v>
      </c>
      <c r="E256" s="10" t="s">
        <v>31</v>
      </c>
      <c r="F256" s="10" t="s">
        <v>45</v>
      </c>
      <c r="G256" s="10" t="s">
        <v>67</v>
      </c>
      <c r="H256" s="10">
        <v>8500</v>
      </c>
      <c r="I256" s="6">
        <v>2</v>
      </c>
      <c r="J256" s="6">
        <f>H256*I256</f>
        <v>17000</v>
      </c>
    </row>
    <row r="257" spans="2:10" ht="20.100000000000001" customHeight="1" x14ac:dyDescent="0.25">
      <c r="B257" s="4">
        <v>44953</v>
      </c>
      <c r="C257" s="8" t="str">
        <f>"Ord-01-23-"&amp;TEXT(ROW(C139),"000")</f>
        <v>Ord-01-23-139</v>
      </c>
      <c r="D257" s="6" t="s">
        <v>9</v>
      </c>
      <c r="E257" s="10" t="s">
        <v>31</v>
      </c>
      <c r="F257" s="10" t="s">
        <v>48</v>
      </c>
      <c r="G257" s="10" t="s">
        <v>69</v>
      </c>
      <c r="H257" s="10">
        <v>3500</v>
      </c>
      <c r="I257" s="6">
        <v>1</v>
      </c>
      <c r="J257" s="6">
        <f>H257*I257</f>
        <v>3500</v>
      </c>
    </row>
    <row r="258" spans="2:10" ht="20.100000000000001" customHeight="1" x14ac:dyDescent="0.25">
      <c r="B258" s="4">
        <v>44953</v>
      </c>
      <c r="C258" s="8" t="str">
        <f>"Ord-01-23-"&amp;TEXT(ROW(C140),"000")</f>
        <v>Ord-01-23-140</v>
      </c>
      <c r="D258" s="6" t="s">
        <v>25</v>
      </c>
      <c r="E258" s="10" t="s">
        <v>36</v>
      </c>
      <c r="F258" s="10" t="s">
        <v>36</v>
      </c>
      <c r="G258" s="10" t="s">
        <v>41</v>
      </c>
      <c r="H258" s="10">
        <v>2000</v>
      </c>
      <c r="I258" s="6">
        <v>4</v>
      </c>
      <c r="J258" s="6">
        <f>H258*I258</f>
        <v>8000</v>
      </c>
    </row>
    <row r="259" spans="2:10" ht="20.100000000000001" customHeight="1" x14ac:dyDescent="0.25">
      <c r="B259" s="4">
        <v>44954</v>
      </c>
      <c r="C259" s="8" t="str">
        <f>"Ord-01-23-"&amp;TEXT(ROW(C141),"000")</f>
        <v>Ord-01-23-141</v>
      </c>
      <c r="D259" s="6" t="s">
        <v>18</v>
      </c>
      <c r="E259" s="10" t="s">
        <v>35</v>
      </c>
      <c r="F259" s="12" t="s">
        <v>90</v>
      </c>
      <c r="G259" s="10" t="s">
        <v>55</v>
      </c>
      <c r="H259" s="10">
        <v>5000</v>
      </c>
      <c r="I259" s="6">
        <v>5</v>
      </c>
      <c r="J259" s="6">
        <f>H259*I259</f>
        <v>25000</v>
      </c>
    </row>
    <row r="260" spans="2:10" ht="20.100000000000001" customHeight="1" x14ac:dyDescent="0.25">
      <c r="B260" s="4">
        <v>44954</v>
      </c>
      <c r="C260" s="8" t="str">
        <f>"Ord-01-23-"&amp;TEXT(ROW(C142),"000")</f>
        <v>Ord-01-23-142</v>
      </c>
      <c r="D260" s="6" t="s">
        <v>9</v>
      </c>
      <c r="E260" s="10" t="s">
        <v>35</v>
      </c>
      <c r="F260" s="12" t="s">
        <v>90</v>
      </c>
      <c r="G260" s="10" t="s">
        <v>77</v>
      </c>
      <c r="H260" s="10">
        <v>8500</v>
      </c>
      <c r="I260" s="6">
        <v>1</v>
      </c>
      <c r="J260" s="6">
        <f>H260*I260</f>
        <v>8500</v>
      </c>
    </row>
    <row r="261" spans="2:10" ht="20.100000000000001" customHeight="1" x14ac:dyDescent="0.25">
      <c r="B261" s="4">
        <v>44954</v>
      </c>
      <c r="C261" s="8" t="str">
        <f>"Ord-01-23-"&amp;TEXT(ROW(C143),"000")</f>
        <v>Ord-01-23-143</v>
      </c>
      <c r="D261" s="6" t="s">
        <v>22</v>
      </c>
      <c r="E261" s="10" t="s">
        <v>28</v>
      </c>
      <c r="F261" s="10" t="s">
        <v>28</v>
      </c>
      <c r="G261" s="10" t="s">
        <v>77</v>
      </c>
      <c r="H261" s="10">
        <v>1200</v>
      </c>
      <c r="I261" s="6">
        <v>5</v>
      </c>
      <c r="J261" s="6">
        <f>H261*I261</f>
        <v>6000</v>
      </c>
    </row>
    <row r="262" spans="2:10" ht="20.100000000000001" customHeight="1" x14ac:dyDescent="0.25">
      <c r="B262" s="4">
        <v>44954</v>
      </c>
      <c r="C262" s="8" t="str">
        <f>"Ord-01-23-"&amp;TEXT(ROW(C144),"000")</f>
        <v>Ord-01-23-144</v>
      </c>
      <c r="D262" s="6" t="s">
        <v>22</v>
      </c>
      <c r="E262" s="10" t="s">
        <v>32</v>
      </c>
      <c r="F262" s="10" t="s">
        <v>51</v>
      </c>
      <c r="G262" s="10" t="s">
        <v>80</v>
      </c>
      <c r="H262" s="10">
        <v>5500</v>
      </c>
      <c r="I262" s="6">
        <v>2</v>
      </c>
      <c r="J262" s="6">
        <f>H262*I262</f>
        <v>11000</v>
      </c>
    </row>
    <row r="263" spans="2:10" ht="20.100000000000001" customHeight="1" x14ac:dyDescent="0.25">
      <c r="B263" s="4">
        <v>44954</v>
      </c>
      <c r="C263" s="8" t="str">
        <f>"Ord-01-23-"&amp;TEXT(ROW(C145),"000")</f>
        <v>Ord-01-23-145</v>
      </c>
      <c r="D263" s="6" t="s">
        <v>14</v>
      </c>
      <c r="E263" s="10" t="s">
        <v>31</v>
      </c>
      <c r="F263" s="10" t="s">
        <v>45</v>
      </c>
      <c r="G263" s="10" t="s">
        <v>67</v>
      </c>
      <c r="H263" s="10">
        <v>8500</v>
      </c>
      <c r="I263" s="6">
        <v>1</v>
      </c>
      <c r="J263" s="6">
        <f>H263*I263</f>
        <v>8500</v>
      </c>
    </row>
    <row r="264" spans="2:10" ht="20.100000000000001" customHeight="1" x14ac:dyDescent="0.25">
      <c r="B264" s="4">
        <v>44955</v>
      </c>
      <c r="C264" s="8" t="str">
        <f>"Ord-01-23-"&amp;TEXT(ROW(C146),"000")</f>
        <v>Ord-01-23-146</v>
      </c>
      <c r="D264" s="6" t="s">
        <v>12</v>
      </c>
      <c r="E264" s="10" t="s">
        <v>32</v>
      </c>
      <c r="F264" s="10" t="s">
        <v>44</v>
      </c>
      <c r="G264" s="10" t="s">
        <v>87</v>
      </c>
      <c r="H264" s="10">
        <v>1500</v>
      </c>
      <c r="I264" s="6">
        <v>5</v>
      </c>
      <c r="J264" s="6">
        <f>H264*I264</f>
        <v>7500</v>
      </c>
    </row>
    <row r="265" spans="2:10" ht="20.100000000000001" customHeight="1" x14ac:dyDescent="0.25">
      <c r="B265" s="4">
        <v>44955</v>
      </c>
      <c r="C265" s="8" t="str">
        <f>"Ord-01-23-"&amp;TEXT(ROW(C147),"000")</f>
        <v>Ord-01-23-147</v>
      </c>
      <c r="D265" s="6" t="s">
        <v>11</v>
      </c>
      <c r="E265" s="10" t="s">
        <v>32</v>
      </c>
      <c r="F265" s="10" t="s">
        <v>51</v>
      </c>
      <c r="G265" s="10" t="s">
        <v>72</v>
      </c>
      <c r="H265" s="10">
        <v>2200</v>
      </c>
      <c r="I265" s="6">
        <v>4</v>
      </c>
      <c r="J265" s="6">
        <f>H265*I265</f>
        <v>8800</v>
      </c>
    </row>
    <row r="266" spans="2:10" ht="20.100000000000001" customHeight="1" x14ac:dyDescent="0.25">
      <c r="B266" s="4">
        <v>44955</v>
      </c>
      <c r="C266" s="8" t="str">
        <f>"Ord-01-23-"&amp;TEXT(ROW(C148),"000")</f>
        <v>Ord-01-23-148</v>
      </c>
      <c r="D266" s="6" t="s">
        <v>22</v>
      </c>
      <c r="E266" s="10" t="s">
        <v>31</v>
      </c>
      <c r="F266" s="10" t="s">
        <v>43</v>
      </c>
      <c r="G266" s="10" t="s">
        <v>67</v>
      </c>
      <c r="H266" s="10">
        <v>14500</v>
      </c>
      <c r="I266" s="6">
        <v>3</v>
      </c>
      <c r="J266" s="6">
        <f>H266*I266</f>
        <v>43500</v>
      </c>
    </row>
    <row r="267" spans="2:10" ht="20.100000000000001" customHeight="1" x14ac:dyDescent="0.25">
      <c r="B267" s="4">
        <v>44955</v>
      </c>
      <c r="C267" s="8" t="str">
        <f>"Ord-01-23-"&amp;TEXT(ROW(C149),"000")</f>
        <v>Ord-01-23-149</v>
      </c>
      <c r="D267" s="6" t="s">
        <v>21</v>
      </c>
      <c r="E267" s="10" t="s">
        <v>31</v>
      </c>
      <c r="F267" s="10" t="s">
        <v>52</v>
      </c>
      <c r="G267" s="10" t="s">
        <v>82</v>
      </c>
      <c r="H267" s="10">
        <v>5000</v>
      </c>
      <c r="I267" s="6">
        <v>2</v>
      </c>
      <c r="J267" s="6">
        <f>H267*I267</f>
        <v>10000</v>
      </c>
    </row>
    <row r="268" spans="2:10" ht="20.100000000000001" customHeight="1" x14ac:dyDescent="0.25">
      <c r="B268" s="4">
        <v>44955</v>
      </c>
      <c r="C268" s="8" t="str">
        <f>"Ord-01-23-"&amp;TEXT(ROW(C150),"000")</f>
        <v>Ord-01-23-150</v>
      </c>
      <c r="D268" s="6" t="s">
        <v>12</v>
      </c>
      <c r="E268" s="10" t="s">
        <v>27</v>
      </c>
      <c r="F268" s="10" t="s">
        <v>37</v>
      </c>
      <c r="G268" s="10" t="s">
        <v>64</v>
      </c>
      <c r="H268" s="10">
        <v>4500</v>
      </c>
      <c r="I268" s="6">
        <v>5</v>
      </c>
      <c r="J268" s="6">
        <f>H268*I268</f>
        <v>22500</v>
      </c>
    </row>
    <row r="269" spans="2:10" ht="20.100000000000001" customHeight="1" x14ac:dyDescent="0.25">
      <c r="B269" s="4">
        <v>44956</v>
      </c>
      <c r="C269" s="8" t="str">
        <f>"Ord-01-23-"&amp;TEXT(ROW(C151),"000")</f>
        <v>Ord-01-23-151</v>
      </c>
      <c r="D269" s="6" t="s">
        <v>21</v>
      </c>
      <c r="E269" s="10" t="s">
        <v>32</v>
      </c>
      <c r="F269" s="10" t="s">
        <v>44</v>
      </c>
      <c r="G269" s="10" t="s">
        <v>72</v>
      </c>
      <c r="H269" s="10">
        <v>2200</v>
      </c>
      <c r="I269" s="6">
        <v>2</v>
      </c>
      <c r="J269" s="6">
        <f>H269*I269</f>
        <v>4400</v>
      </c>
    </row>
    <row r="270" spans="2:10" ht="20.100000000000001" customHeight="1" x14ac:dyDescent="0.25">
      <c r="B270" s="4">
        <v>44956</v>
      </c>
      <c r="C270" s="8" t="str">
        <f>"Ord-01-23-"&amp;TEXT(ROW(C152),"000")</f>
        <v>Ord-01-23-152</v>
      </c>
      <c r="D270" s="6" t="s">
        <v>12</v>
      </c>
      <c r="E270" s="10" t="s">
        <v>32</v>
      </c>
      <c r="F270" s="10" t="s">
        <v>44</v>
      </c>
      <c r="G270" s="10" t="s">
        <v>72</v>
      </c>
      <c r="H270" s="10">
        <v>2200</v>
      </c>
      <c r="I270" s="6">
        <v>4</v>
      </c>
      <c r="J270" s="6">
        <f>H270*I270</f>
        <v>8800</v>
      </c>
    </row>
    <row r="271" spans="2:10" ht="20.100000000000001" customHeight="1" x14ac:dyDescent="0.25">
      <c r="B271" s="4">
        <v>44956</v>
      </c>
      <c r="C271" s="8" t="str">
        <f>"Ord-01-23-"&amp;TEXT(ROW(C153),"000")</f>
        <v>Ord-01-23-153</v>
      </c>
      <c r="D271" s="6" t="s">
        <v>14</v>
      </c>
      <c r="E271" s="10" t="s">
        <v>31</v>
      </c>
      <c r="F271" s="10" t="s">
        <v>52</v>
      </c>
      <c r="G271" s="10" t="s">
        <v>82</v>
      </c>
      <c r="H271" s="10">
        <v>5000</v>
      </c>
      <c r="I271" s="6">
        <v>2</v>
      </c>
      <c r="J271" s="6">
        <f>H271*I271</f>
        <v>10000</v>
      </c>
    </row>
    <row r="272" spans="2:10" ht="20.100000000000001" customHeight="1" x14ac:dyDescent="0.25">
      <c r="B272" s="4">
        <v>44956</v>
      </c>
      <c r="C272" s="8" t="str">
        <f>"Ord-01-23-"&amp;TEXT(ROW(C154),"000")</f>
        <v>Ord-01-23-154</v>
      </c>
      <c r="D272" s="6" t="s">
        <v>14</v>
      </c>
      <c r="E272" s="10" t="s">
        <v>30</v>
      </c>
      <c r="F272" s="10" t="s">
        <v>90</v>
      </c>
      <c r="G272" s="10" t="s">
        <v>59</v>
      </c>
      <c r="H272" s="10">
        <v>4800</v>
      </c>
      <c r="I272" s="6">
        <v>5</v>
      </c>
      <c r="J272" s="6">
        <f>H272*I272</f>
        <v>24000</v>
      </c>
    </row>
    <row r="273" spans="2:10" ht="20.100000000000001" customHeight="1" x14ac:dyDescent="0.25">
      <c r="B273" s="4">
        <v>44956</v>
      </c>
      <c r="C273" s="8" t="str">
        <f>"Ord-01-23-"&amp;TEXT(ROW(C155),"000")</f>
        <v>Ord-01-23-155</v>
      </c>
      <c r="D273" s="6" t="s">
        <v>24</v>
      </c>
      <c r="E273" s="10" t="s">
        <v>27</v>
      </c>
      <c r="F273" s="10" t="s">
        <v>38</v>
      </c>
      <c r="G273" s="10" t="s">
        <v>54</v>
      </c>
      <c r="H273" s="10">
        <v>5200</v>
      </c>
      <c r="I273" s="6">
        <v>3</v>
      </c>
      <c r="J273" s="6">
        <f>H273*I273</f>
        <v>15600</v>
      </c>
    </row>
    <row r="274" spans="2:10" ht="20.100000000000001" customHeight="1" x14ac:dyDescent="0.25">
      <c r="B274" s="4">
        <v>44957</v>
      </c>
      <c r="C274" s="8" t="str">
        <f>"Ord-01-23-"&amp;TEXT(ROW(C156),"000")</f>
        <v>Ord-01-23-156</v>
      </c>
      <c r="D274" s="6" t="s">
        <v>14</v>
      </c>
      <c r="E274" s="10" t="s">
        <v>28</v>
      </c>
      <c r="F274" s="10" t="s">
        <v>28</v>
      </c>
      <c r="G274" s="10" t="s">
        <v>55</v>
      </c>
      <c r="H274" s="10">
        <v>750</v>
      </c>
      <c r="I274" s="6">
        <v>2</v>
      </c>
      <c r="J274" s="6">
        <f>H274*I274</f>
        <v>1500</v>
      </c>
    </row>
    <row r="275" spans="2:10" ht="20.100000000000001" customHeight="1" x14ac:dyDescent="0.25">
      <c r="B275" s="4">
        <v>44957</v>
      </c>
      <c r="C275" s="8" t="str">
        <f>"Ord-01-23-"&amp;TEXT(ROW(C157),"000")</f>
        <v>Ord-01-23-157</v>
      </c>
      <c r="D275" s="6" t="s">
        <v>25</v>
      </c>
      <c r="E275" s="10" t="s">
        <v>33</v>
      </c>
      <c r="F275" s="10" t="s">
        <v>47</v>
      </c>
      <c r="G275" s="10" t="s">
        <v>65</v>
      </c>
      <c r="H275" s="10">
        <v>25</v>
      </c>
      <c r="I275" s="6">
        <v>250</v>
      </c>
      <c r="J275" s="6">
        <f>H275*I275</f>
        <v>6250</v>
      </c>
    </row>
    <row r="276" spans="2:10" ht="20.100000000000001" customHeight="1" x14ac:dyDescent="0.25">
      <c r="B276" s="4">
        <v>44957</v>
      </c>
      <c r="C276" s="8" t="str">
        <f>"Ord-01-23-"&amp;TEXT(ROW(C158),"000")</f>
        <v>Ord-01-23-158</v>
      </c>
      <c r="D276" s="6" t="s">
        <v>11</v>
      </c>
      <c r="E276" s="10" t="s">
        <v>33</v>
      </c>
      <c r="F276" s="10" t="s">
        <v>46</v>
      </c>
      <c r="G276" s="10" t="s">
        <v>65</v>
      </c>
      <c r="H276" s="10">
        <v>15</v>
      </c>
      <c r="I276" s="6">
        <v>300</v>
      </c>
      <c r="J276" s="6">
        <f>H276*I276</f>
        <v>4500</v>
      </c>
    </row>
    <row r="277" spans="2:10" ht="20.100000000000001" customHeight="1" x14ac:dyDescent="0.25">
      <c r="B277" s="4">
        <v>44957</v>
      </c>
      <c r="C277" s="8" t="str">
        <f>"Ord-01-23-"&amp;TEXT(ROW(C159),"000")</f>
        <v>Ord-01-23-159</v>
      </c>
      <c r="D277" s="6" t="s">
        <v>11</v>
      </c>
      <c r="E277" s="10" t="s">
        <v>31</v>
      </c>
      <c r="F277" s="10" t="s">
        <v>45</v>
      </c>
      <c r="G277" s="10" t="s">
        <v>63</v>
      </c>
      <c r="H277" s="10">
        <v>1800</v>
      </c>
      <c r="I277" s="6">
        <v>2</v>
      </c>
      <c r="J277" s="6">
        <f>H277*I277</f>
        <v>3600</v>
      </c>
    </row>
    <row r="278" spans="2:10" ht="20.100000000000001" customHeight="1" x14ac:dyDescent="0.25">
      <c r="B278" s="4">
        <v>44957</v>
      </c>
      <c r="C278" s="8" t="str">
        <f>"Ord-01-23-"&amp;TEXT(ROW(C160),"000")</f>
        <v>Ord-01-23-160</v>
      </c>
      <c r="D278" s="6" t="s">
        <v>15</v>
      </c>
      <c r="E278" s="10" t="s">
        <v>29</v>
      </c>
      <c r="F278" s="10" t="s">
        <v>39</v>
      </c>
      <c r="G278" s="10" t="s">
        <v>60</v>
      </c>
      <c r="H278" s="10">
        <v>1500</v>
      </c>
      <c r="I278" s="6">
        <v>5</v>
      </c>
      <c r="J278" s="6">
        <f>H278*I278</f>
        <v>7500</v>
      </c>
    </row>
    <row r="279" spans="2:10" ht="20.100000000000001" customHeight="1" x14ac:dyDescent="0.25">
      <c r="B279" s="4">
        <v>44958</v>
      </c>
      <c r="C279" s="8" t="str">
        <f>"Ord-02-23-"&amp;TEXT(ROW(C1),"000")</f>
        <v>Ord-02-23-001</v>
      </c>
      <c r="D279" s="6" t="s">
        <v>9</v>
      </c>
      <c r="E279" s="10" t="s">
        <v>33</v>
      </c>
      <c r="F279" s="10" t="s">
        <v>47</v>
      </c>
      <c r="G279" s="10" t="s">
        <v>65</v>
      </c>
      <c r="H279" s="10">
        <v>25</v>
      </c>
      <c r="I279" s="6">
        <v>700</v>
      </c>
      <c r="J279" s="6">
        <f>H279*I279</f>
        <v>17500</v>
      </c>
    </row>
    <row r="280" spans="2:10" ht="20.100000000000001" customHeight="1" x14ac:dyDescent="0.25">
      <c r="B280" s="4">
        <v>44958</v>
      </c>
      <c r="C280" s="8" t="str">
        <f>"Ord-02-23-"&amp;TEXT(ROW(C2),"000")</f>
        <v>Ord-02-23-002</v>
      </c>
      <c r="D280" s="6" t="s">
        <v>10</v>
      </c>
      <c r="E280" s="10" t="s">
        <v>33</v>
      </c>
      <c r="F280" s="10" t="s">
        <v>46</v>
      </c>
      <c r="G280" s="10" t="s">
        <v>65</v>
      </c>
      <c r="H280" s="10">
        <v>15</v>
      </c>
      <c r="I280" s="6">
        <v>100</v>
      </c>
      <c r="J280" s="6">
        <f>H280*I280</f>
        <v>1500</v>
      </c>
    </row>
    <row r="281" spans="2:10" ht="20.100000000000001" customHeight="1" x14ac:dyDescent="0.25">
      <c r="B281" s="4">
        <v>44958</v>
      </c>
      <c r="C281" s="8" t="str">
        <f>"Ord-02-23-"&amp;TEXT(ROW(C3),"000")</f>
        <v>Ord-02-23-003</v>
      </c>
      <c r="D281" s="6" t="s">
        <v>9</v>
      </c>
      <c r="E281" s="10" t="s">
        <v>31</v>
      </c>
      <c r="F281" s="10" t="s">
        <v>43</v>
      </c>
      <c r="G281" s="10" t="s">
        <v>59</v>
      </c>
      <c r="H281" s="10">
        <v>5200</v>
      </c>
      <c r="I281" s="6">
        <v>2</v>
      </c>
      <c r="J281" s="6">
        <f>H281*I281</f>
        <v>10400</v>
      </c>
    </row>
    <row r="282" spans="2:10" ht="20.100000000000001" customHeight="1" x14ac:dyDescent="0.25">
      <c r="B282" s="4">
        <v>44958</v>
      </c>
      <c r="C282" s="8" t="str">
        <f>"Ord-02-23-"&amp;TEXT(ROW(C4),"000")</f>
        <v>Ord-02-23-004</v>
      </c>
      <c r="D282" s="6" t="s">
        <v>17</v>
      </c>
      <c r="E282" s="10" t="s">
        <v>27</v>
      </c>
      <c r="F282" s="10" t="s">
        <v>38</v>
      </c>
      <c r="G282" s="10" t="s">
        <v>53</v>
      </c>
      <c r="H282" s="10">
        <v>5500</v>
      </c>
      <c r="I282" s="6">
        <v>1</v>
      </c>
      <c r="J282" s="6">
        <f>H282*I282</f>
        <v>5500</v>
      </c>
    </row>
    <row r="283" spans="2:10" ht="20.100000000000001" customHeight="1" x14ac:dyDescent="0.25">
      <c r="B283" s="4">
        <v>44958</v>
      </c>
      <c r="C283" s="8" t="str">
        <f>"Ord-02-23-"&amp;TEXT(ROW(C5),"000")</f>
        <v>Ord-02-23-005</v>
      </c>
      <c r="D283" s="6" t="s">
        <v>15</v>
      </c>
      <c r="E283" s="10" t="s">
        <v>27</v>
      </c>
      <c r="F283" s="10" t="s">
        <v>41</v>
      </c>
      <c r="G283" s="10" t="s">
        <v>54</v>
      </c>
      <c r="H283" s="10">
        <v>2800</v>
      </c>
      <c r="I283" s="6">
        <v>2</v>
      </c>
      <c r="J283" s="6">
        <f>H283*I283</f>
        <v>5600</v>
      </c>
    </row>
    <row r="284" spans="2:10" ht="20.100000000000001" customHeight="1" x14ac:dyDescent="0.25">
      <c r="B284" s="4">
        <v>44959</v>
      </c>
      <c r="C284" s="8" t="str">
        <f>"Ord-02-23-"&amp;TEXT(ROW(C6),"000")</f>
        <v>Ord-02-23-006</v>
      </c>
      <c r="D284" s="6" t="s">
        <v>10</v>
      </c>
      <c r="E284" s="10" t="s">
        <v>33</v>
      </c>
      <c r="F284" s="10" t="s">
        <v>46</v>
      </c>
      <c r="G284" s="10" t="s">
        <v>65</v>
      </c>
      <c r="H284" s="10">
        <v>15</v>
      </c>
      <c r="I284" s="6">
        <v>350</v>
      </c>
      <c r="J284" s="6">
        <f>H284*I284</f>
        <v>5250</v>
      </c>
    </row>
    <row r="285" spans="2:10" ht="20.100000000000001" customHeight="1" x14ac:dyDescent="0.25">
      <c r="B285" s="4">
        <v>44959</v>
      </c>
      <c r="C285" s="8" t="str">
        <f>"Ord-02-23-"&amp;TEXT(ROW(C7),"000")</f>
        <v>Ord-02-23-007</v>
      </c>
      <c r="D285" s="6" t="s">
        <v>16</v>
      </c>
      <c r="E285" s="10" t="s">
        <v>33</v>
      </c>
      <c r="F285" s="10" t="s">
        <v>46</v>
      </c>
      <c r="G285" s="10" t="s">
        <v>65</v>
      </c>
      <c r="H285" s="10">
        <v>15</v>
      </c>
      <c r="I285" s="6">
        <v>550</v>
      </c>
      <c r="J285" s="6">
        <f>H285*I285</f>
        <v>8250</v>
      </c>
    </row>
    <row r="286" spans="2:10" ht="20.100000000000001" customHeight="1" x14ac:dyDescent="0.25">
      <c r="B286" s="4">
        <v>44959</v>
      </c>
      <c r="C286" s="8" t="str">
        <f>"Ord-02-23-"&amp;TEXT(ROW(C8),"000")</f>
        <v>Ord-02-23-008</v>
      </c>
      <c r="D286" s="6" t="s">
        <v>24</v>
      </c>
      <c r="E286" s="10" t="s">
        <v>31</v>
      </c>
      <c r="F286" s="10" t="s">
        <v>52</v>
      </c>
      <c r="G286" s="10" t="s">
        <v>69</v>
      </c>
      <c r="H286" s="10">
        <v>3500</v>
      </c>
      <c r="I286" s="6">
        <v>1</v>
      </c>
      <c r="J286" s="6">
        <f>H286*I286</f>
        <v>3500</v>
      </c>
    </row>
    <row r="287" spans="2:10" ht="20.100000000000001" customHeight="1" x14ac:dyDescent="0.25">
      <c r="B287" s="4">
        <v>44959</v>
      </c>
      <c r="C287" s="8" t="str">
        <f>"Ord-02-23-"&amp;TEXT(ROW(C9),"000")</f>
        <v>Ord-02-23-009</v>
      </c>
      <c r="D287" s="6" t="s">
        <v>16</v>
      </c>
      <c r="E287" s="10" t="s">
        <v>29</v>
      </c>
      <c r="F287" s="10" t="s">
        <v>40</v>
      </c>
      <c r="G287" s="10" t="s">
        <v>84</v>
      </c>
      <c r="H287" s="10">
        <v>7500</v>
      </c>
      <c r="I287" s="6">
        <v>4</v>
      </c>
      <c r="J287" s="6">
        <f>H287*I287</f>
        <v>30000</v>
      </c>
    </row>
    <row r="288" spans="2:10" ht="20.100000000000001" customHeight="1" x14ac:dyDescent="0.25">
      <c r="B288" s="4">
        <v>44959</v>
      </c>
      <c r="C288" s="8" t="str">
        <f>"Ord-02-23-"&amp;TEXT(ROW(C10),"000")</f>
        <v>Ord-02-23-010</v>
      </c>
      <c r="D288" s="6" t="s">
        <v>18</v>
      </c>
      <c r="E288" s="10" t="s">
        <v>27</v>
      </c>
      <c r="F288" s="10" t="s">
        <v>42</v>
      </c>
      <c r="G288" s="10" t="s">
        <v>42</v>
      </c>
      <c r="H288" s="10">
        <v>2500</v>
      </c>
      <c r="I288" s="6">
        <v>1</v>
      </c>
      <c r="J288" s="6">
        <f>H288*I288</f>
        <v>2500</v>
      </c>
    </row>
    <row r="289" spans="2:10" ht="20.100000000000001" customHeight="1" x14ac:dyDescent="0.25">
      <c r="B289" s="4">
        <v>44960</v>
      </c>
      <c r="C289" s="8" t="str">
        <f>"Ord-02-23-"&amp;TEXT(ROW(C11),"000")</f>
        <v>Ord-02-23-011</v>
      </c>
      <c r="D289" s="6" t="s">
        <v>16</v>
      </c>
      <c r="E289" s="10" t="s">
        <v>32</v>
      </c>
      <c r="F289" s="10" t="s">
        <v>51</v>
      </c>
      <c r="G289" s="10" t="s">
        <v>80</v>
      </c>
      <c r="H289" s="10">
        <v>5500</v>
      </c>
      <c r="I289" s="6">
        <v>1</v>
      </c>
      <c r="J289" s="6">
        <f>H289*I289</f>
        <v>5500</v>
      </c>
    </row>
    <row r="290" spans="2:10" ht="20.100000000000001" customHeight="1" x14ac:dyDescent="0.25">
      <c r="B290" s="4">
        <v>44960</v>
      </c>
      <c r="C290" s="8" t="str">
        <f>"Ord-02-23-"&amp;TEXT(ROW(C12),"000")</f>
        <v>Ord-02-23-012</v>
      </c>
      <c r="D290" s="6" t="s">
        <v>10</v>
      </c>
      <c r="E290" s="10" t="s">
        <v>33</v>
      </c>
      <c r="F290" s="10" t="s">
        <v>46</v>
      </c>
      <c r="G290" s="10" t="s">
        <v>65</v>
      </c>
      <c r="H290" s="10">
        <v>15</v>
      </c>
      <c r="I290" s="6">
        <v>600</v>
      </c>
      <c r="J290" s="6">
        <f>H290*I290</f>
        <v>9000</v>
      </c>
    </row>
    <row r="291" spans="2:10" ht="20.100000000000001" customHeight="1" x14ac:dyDescent="0.25">
      <c r="B291" s="4">
        <v>44960</v>
      </c>
      <c r="C291" s="8" t="str">
        <f>"Ord-02-23-"&amp;TEXT(ROW(C13),"000")</f>
        <v>Ord-02-23-013</v>
      </c>
      <c r="D291" s="6" t="s">
        <v>15</v>
      </c>
      <c r="E291" s="10" t="s">
        <v>31</v>
      </c>
      <c r="F291" s="10" t="s">
        <v>45</v>
      </c>
      <c r="G291" s="10" t="s">
        <v>66</v>
      </c>
      <c r="H291" s="10">
        <v>2300</v>
      </c>
      <c r="I291" s="6">
        <v>5</v>
      </c>
      <c r="J291" s="6">
        <f>H291*I291</f>
        <v>11500</v>
      </c>
    </row>
    <row r="292" spans="2:10" ht="20.100000000000001" customHeight="1" x14ac:dyDescent="0.25">
      <c r="B292" s="4">
        <v>44960</v>
      </c>
      <c r="C292" s="8" t="str">
        <f>"Ord-02-23-"&amp;TEXT(ROW(C14),"000")</f>
        <v>Ord-02-23-014</v>
      </c>
      <c r="D292" s="6" t="s">
        <v>17</v>
      </c>
      <c r="E292" s="10" t="s">
        <v>29</v>
      </c>
      <c r="F292" s="10" t="s">
        <v>39</v>
      </c>
      <c r="G292" s="10" t="s">
        <v>60</v>
      </c>
      <c r="H292" s="10">
        <v>1500</v>
      </c>
      <c r="I292" s="6">
        <v>2</v>
      </c>
      <c r="J292" s="6">
        <f>H292*I292</f>
        <v>3000</v>
      </c>
    </row>
    <row r="293" spans="2:10" ht="20.100000000000001" customHeight="1" x14ac:dyDescent="0.25">
      <c r="B293" s="4">
        <v>44960</v>
      </c>
      <c r="C293" s="8" t="str">
        <f>"Ord-02-23-"&amp;TEXT(ROW(C15),"000")</f>
        <v>Ord-02-23-015</v>
      </c>
      <c r="D293" s="6" t="s">
        <v>10</v>
      </c>
      <c r="E293" s="10" t="s">
        <v>30</v>
      </c>
      <c r="F293" s="10" t="s">
        <v>90</v>
      </c>
      <c r="G293" s="10" t="s">
        <v>86</v>
      </c>
      <c r="H293" s="10">
        <v>7500</v>
      </c>
      <c r="I293" s="6">
        <v>3</v>
      </c>
      <c r="J293" s="6">
        <f>H293*I293</f>
        <v>22500</v>
      </c>
    </row>
    <row r="294" spans="2:10" ht="20.100000000000001" customHeight="1" x14ac:dyDescent="0.25">
      <c r="B294" s="4">
        <v>44961</v>
      </c>
      <c r="C294" s="8" t="str">
        <f>"Ord-02-23-"&amp;TEXT(ROW(C16),"000")</f>
        <v>Ord-02-23-016</v>
      </c>
      <c r="D294" s="6" t="s">
        <v>12</v>
      </c>
      <c r="E294" s="10" t="s">
        <v>32</v>
      </c>
      <c r="F294" s="10" t="s">
        <v>44</v>
      </c>
      <c r="G294" s="10" t="s">
        <v>72</v>
      </c>
      <c r="H294" s="10">
        <v>2200</v>
      </c>
      <c r="I294" s="6">
        <v>1</v>
      </c>
      <c r="J294" s="6">
        <f>H294*I294</f>
        <v>2200</v>
      </c>
    </row>
    <row r="295" spans="2:10" ht="20.100000000000001" customHeight="1" x14ac:dyDescent="0.25">
      <c r="B295" s="4">
        <v>44961</v>
      </c>
      <c r="C295" s="8" t="str">
        <f>"Ord-02-23-"&amp;TEXT(ROW(C17),"000")</f>
        <v>Ord-02-23-017</v>
      </c>
      <c r="D295" s="6" t="s">
        <v>24</v>
      </c>
      <c r="E295" s="10" t="s">
        <v>33</v>
      </c>
      <c r="F295" s="10" t="s">
        <v>47</v>
      </c>
      <c r="G295" s="10" t="s">
        <v>65</v>
      </c>
      <c r="H295" s="10">
        <v>25</v>
      </c>
      <c r="I295" s="6">
        <v>300</v>
      </c>
      <c r="J295" s="6">
        <f>H295*I295</f>
        <v>7500</v>
      </c>
    </row>
    <row r="296" spans="2:10" ht="20.100000000000001" customHeight="1" x14ac:dyDescent="0.25">
      <c r="B296" s="4">
        <v>44961</v>
      </c>
      <c r="C296" s="8" t="str">
        <f>"Ord-02-23-"&amp;TEXT(ROW(C18),"000")</f>
        <v>Ord-02-23-018</v>
      </c>
      <c r="D296" s="6" t="s">
        <v>16</v>
      </c>
      <c r="E296" s="10" t="s">
        <v>31</v>
      </c>
      <c r="F296" s="10" t="s">
        <v>45</v>
      </c>
      <c r="G296" s="10" t="s">
        <v>66</v>
      </c>
      <c r="H296" s="10">
        <v>2300</v>
      </c>
      <c r="I296" s="6">
        <v>5</v>
      </c>
      <c r="J296" s="6">
        <f>H296*I296</f>
        <v>11500</v>
      </c>
    </row>
    <row r="297" spans="2:10" ht="20.100000000000001" customHeight="1" x14ac:dyDescent="0.25">
      <c r="B297" s="4">
        <v>44961</v>
      </c>
      <c r="C297" s="8" t="str">
        <f>"Ord-02-23-"&amp;TEXT(ROW(C19),"000")</f>
        <v>Ord-02-23-019</v>
      </c>
      <c r="D297" s="6" t="s">
        <v>14</v>
      </c>
      <c r="E297" s="10" t="s">
        <v>36</v>
      </c>
      <c r="F297" s="10" t="s">
        <v>36</v>
      </c>
      <c r="G297" s="10" t="s">
        <v>78</v>
      </c>
      <c r="H297" s="10">
        <v>2500</v>
      </c>
      <c r="I297" s="6">
        <v>4</v>
      </c>
      <c r="J297" s="6">
        <f>H297*I297</f>
        <v>10000</v>
      </c>
    </row>
    <row r="298" spans="2:10" ht="20.100000000000001" customHeight="1" x14ac:dyDescent="0.25">
      <c r="B298" s="4">
        <v>44961</v>
      </c>
      <c r="C298" s="8" t="str">
        <f>"Ord-02-23-"&amp;TEXT(ROW(C20),"000")</f>
        <v>Ord-02-23-020</v>
      </c>
      <c r="D298" s="6" t="s">
        <v>19</v>
      </c>
      <c r="E298" s="10" t="s">
        <v>30</v>
      </c>
      <c r="F298" s="10" t="s">
        <v>90</v>
      </c>
      <c r="G298" s="10" t="s">
        <v>59</v>
      </c>
      <c r="H298" s="10">
        <v>4800</v>
      </c>
      <c r="I298" s="6">
        <v>5</v>
      </c>
      <c r="J298" s="6">
        <f>H298*I298</f>
        <v>24000</v>
      </c>
    </row>
    <row r="299" spans="2:10" ht="20.100000000000001" customHeight="1" x14ac:dyDescent="0.25">
      <c r="B299" s="4">
        <v>44962</v>
      </c>
      <c r="C299" s="8" t="str">
        <f>"Ord-02-23-"&amp;TEXT(ROW(C21),"000")</f>
        <v>Ord-02-23-021</v>
      </c>
      <c r="D299" s="6" t="s">
        <v>9</v>
      </c>
      <c r="E299" s="10" t="s">
        <v>33</v>
      </c>
      <c r="F299" s="10" t="s">
        <v>47</v>
      </c>
      <c r="G299" s="10" t="s">
        <v>65</v>
      </c>
      <c r="H299" s="10">
        <v>25</v>
      </c>
      <c r="I299" s="6">
        <v>600</v>
      </c>
      <c r="J299" s="6">
        <f>H299*I299</f>
        <v>15000</v>
      </c>
    </row>
    <row r="300" spans="2:10" ht="20.100000000000001" customHeight="1" x14ac:dyDescent="0.25">
      <c r="B300" s="4">
        <v>44962</v>
      </c>
      <c r="C300" s="8" t="str">
        <f>"Ord-02-23-"&amp;TEXT(ROW(C22),"000")</f>
        <v>Ord-02-23-022</v>
      </c>
      <c r="D300" s="6" t="s">
        <v>21</v>
      </c>
      <c r="E300" s="10" t="s">
        <v>31</v>
      </c>
      <c r="F300" s="10" t="s">
        <v>48</v>
      </c>
      <c r="G300" s="10" t="s">
        <v>59</v>
      </c>
      <c r="H300" s="10">
        <v>4000</v>
      </c>
      <c r="I300" s="6">
        <v>1</v>
      </c>
      <c r="J300" s="6">
        <f>H300*I300</f>
        <v>4000</v>
      </c>
    </row>
    <row r="301" spans="2:10" ht="20.100000000000001" customHeight="1" x14ac:dyDescent="0.25">
      <c r="B301" s="4">
        <v>44962</v>
      </c>
      <c r="C301" s="8" t="str">
        <f>"Ord-02-23-"&amp;TEXT(ROW(C23),"000")</f>
        <v>Ord-02-23-023</v>
      </c>
      <c r="D301" s="6" t="s">
        <v>24</v>
      </c>
      <c r="E301" s="10" t="s">
        <v>29</v>
      </c>
      <c r="F301" s="10" t="s">
        <v>39</v>
      </c>
      <c r="G301" s="10" t="s">
        <v>56</v>
      </c>
      <c r="H301" s="10">
        <v>2500</v>
      </c>
      <c r="I301" s="6">
        <v>5</v>
      </c>
      <c r="J301" s="6">
        <f>H301*I301</f>
        <v>12500</v>
      </c>
    </row>
    <row r="302" spans="2:10" ht="20.100000000000001" customHeight="1" x14ac:dyDescent="0.25">
      <c r="B302" s="4">
        <v>44962</v>
      </c>
      <c r="C302" s="8" t="str">
        <f>"Ord-02-23-"&amp;TEXT(ROW(C24),"000")</f>
        <v>Ord-02-23-024</v>
      </c>
      <c r="D302" s="6" t="s">
        <v>18</v>
      </c>
      <c r="E302" s="10" t="s">
        <v>27</v>
      </c>
      <c r="F302" s="10" t="s">
        <v>42</v>
      </c>
      <c r="G302" s="10" t="s">
        <v>42</v>
      </c>
      <c r="H302" s="10">
        <v>2500</v>
      </c>
      <c r="I302" s="6">
        <v>3</v>
      </c>
      <c r="J302" s="6">
        <f>H302*I302</f>
        <v>7500</v>
      </c>
    </row>
    <row r="303" spans="2:10" ht="20.100000000000001" customHeight="1" x14ac:dyDescent="0.25">
      <c r="B303" s="4">
        <v>44962</v>
      </c>
      <c r="C303" s="8" t="str">
        <f>"Ord-02-23-"&amp;TEXT(ROW(C25),"000")</f>
        <v>Ord-02-23-025</v>
      </c>
      <c r="D303" s="6" t="s">
        <v>9</v>
      </c>
      <c r="E303" s="10" t="s">
        <v>27</v>
      </c>
      <c r="F303" s="10" t="s">
        <v>50</v>
      </c>
      <c r="G303" s="10" t="s">
        <v>53</v>
      </c>
      <c r="H303" s="10">
        <v>3500</v>
      </c>
      <c r="I303" s="6">
        <v>5</v>
      </c>
      <c r="J303" s="6">
        <f>H303*I303</f>
        <v>17500</v>
      </c>
    </row>
    <row r="304" spans="2:10" ht="20.100000000000001" customHeight="1" x14ac:dyDescent="0.25">
      <c r="B304" s="4">
        <v>44963</v>
      </c>
      <c r="C304" s="8" t="str">
        <f>"Ord-02-23-"&amp;TEXT(ROW(C26),"000")</f>
        <v>Ord-02-23-026</v>
      </c>
      <c r="D304" s="6" t="s">
        <v>13</v>
      </c>
      <c r="E304" s="10" t="s">
        <v>28</v>
      </c>
      <c r="F304" s="10" t="s">
        <v>28</v>
      </c>
      <c r="G304" s="10" t="s">
        <v>79</v>
      </c>
      <c r="H304" s="10">
        <v>600</v>
      </c>
      <c r="I304" s="6">
        <v>5</v>
      </c>
      <c r="J304" s="6">
        <f>H304*I304</f>
        <v>3000</v>
      </c>
    </row>
    <row r="305" spans="2:10" ht="20.100000000000001" customHeight="1" x14ac:dyDescent="0.25">
      <c r="B305" s="4">
        <v>44963</v>
      </c>
      <c r="C305" s="8" t="str">
        <f>"Ord-02-23-"&amp;TEXT(ROW(C27),"000")</f>
        <v>Ord-02-23-027</v>
      </c>
      <c r="D305" s="6" t="s">
        <v>18</v>
      </c>
      <c r="E305" s="10" t="s">
        <v>33</v>
      </c>
      <c r="F305" s="10" t="s">
        <v>46</v>
      </c>
      <c r="G305" s="10" t="s">
        <v>65</v>
      </c>
      <c r="H305" s="10">
        <v>15</v>
      </c>
      <c r="I305" s="6">
        <v>400</v>
      </c>
      <c r="J305" s="6">
        <f>H305*I305</f>
        <v>6000</v>
      </c>
    </row>
    <row r="306" spans="2:10" ht="20.100000000000001" customHeight="1" x14ac:dyDescent="0.25">
      <c r="B306" s="4">
        <v>44963</v>
      </c>
      <c r="C306" s="8" t="str">
        <f>"Ord-02-23-"&amp;TEXT(ROW(C28),"000")</f>
        <v>Ord-02-23-028</v>
      </c>
      <c r="D306" s="6" t="s">
        <v>18</v>
      </c>
      <c r="E306" s="10" t="s">
        <v>31</v>
      </c>
      <c r="F306" s="10" t="s">
        <v>52</v>
      </c>
      <c r="G306" s="10" t="s">
        <v>67</v>
      </c>
      <c r="H306" s="10">
        <v>4000</v>
      </c>
      <c r="I306" s="6">
        <v>3</v>
      </c>
      <c r="J306" s="6">
        <f>H306*I306</f>
        <v>12000</v>
      </c>
    </row>
    <row r="307" spans="2:10" ht="20.100000000000001" customHeight="1" x14ac:dyDescent="0.25">
      <c r="B307" s="4">
        <v>44963</v>
      </c>
      <c r="C307" s="8" t="str">
        <f>"Ord-02-23-"&amp;TEXT(ROW(C29),"000")</f>
        <v>Ord-02-23-029</v>
      </c>
      <c r="D307" s="6" t="s">
        <v>13</v>
      </c>
      <c r="E307" s="10" t="s">
        <v>36</v>
      </c>
      <c r="F307" s="10" t="s">
        <v>36</v>
      </c>
      <c r="G307" s="10" t="s">
        <v>78</v>
      </c>
      <c r="H307" s="10">
        <v>2500</v>
      </c>
      <c r="I307" s="6">
        <v>3</v>
      </c>
      <c r="J307" s="6">
        <f>H307*I307</f>
        <v>7500</v>
      </c>
    </row>
    <row r="308" spans="2:10" ht="20.100000000000001" customHeight="1" x14ac:dyDescent="0.25">
      <c r="B308" s="4">
        <v>44963</v>
      </c>
      <c r="C308" s="8" t="str">
        <f>"Ord-02-23-"&amp;TEXT(ROW(C30),"000")</f>
        <v>Ord-02-23-030</v>
      </c>
      <c r="D308" s="6" t="s">
        <v>18</v>
      </c>
      <c r="E308" s="10" t="s">
        <v>27</v>
      </c>
      <c r="F308" s="10" t="s">
        <v>37</v>
      </c>
      <c r="G308" s="10" t="s">
        <v>53</v>
      </c>
      <c r="H308" s="13">
        <v>5200</v>
      </c>
      <c r="I308" s="6">
        <v>2</v>
      </c>
      <c r="J308" s="6">
        <f>H308*I308</f>
        <v>10400</v>
      </c>
    </row>
    <row r="309" spans="2:10" ht="20.100000000000001" customHeight="1" x14ac:dyDescent="0.25">
      <c r="B309" s="4">
        <v>44964</v>
      </c>
      <c r="C309" s="8" t="str">
        <f>"Ord-02-23-"&amp;TEXT(ROW(C31),"000")</f>
        <v>Ord-02-23-031</v>
      </c>
      <c r="D309" s="6" t="s">
        <v>17</v>
      </c>
      <c r="E309" s="10" t="s">
        <v>35</v>
      </c>
      <c r="F309" s="12" t="s">
        <v>90</v>
      </c>
      <c r="G309" s="10" t="s">
        <v>77</v>
      </c>
      <c r="H309" s="10">
        <v>8500</v>
      </c>
      <c r="I309" s="6">
        <v>4</v>
      </c>
      <c r="J309" s="6">
        <f>H309*I309</f>
        <v>34000</v>
      </c>
    </row>
    <row r="310" spans="2:10" ht="20.100000000000001" customHeight="1" x14ac:dyDescent="0.25">
      <c r="B310" s="4">
        <v>44964</v>
      </c>
      <c r="C310" s="8" t="str">
        <f>"Ord-02-23-"&amp;TEXT(ROW(C32),"000")</f>
        <v>Ord-02-23-032</v>
      </c>
      <c r="D310" s="6" t="s">
        <v>8</v>
      </c>
      <c r="E310" s="10" t="s">
        <v>32</v>
      </c>
      <c r="F310" s="10" t="s">
        <v>44</v>
      </c>
      <c r="G310" s="10" t="s">
        <v>72</v>
      </c>
      <c r="H310" s="13">
        <v>2200</v>
      </c>
      <c r="I310" s="7">
        <v>4</v>
      </c>
      <c r="J310" s="6">
        <f>H310*I310</f>
        <v>8800</v>
      </c>
    </row>
    <row r="311" spans="2:10" ht="20.100000000000001" customHeight="1" x14ac:dyDescent="0.25">
      <c r="B311" s="4">
        <v>44964</v>
      </c>
      <c r="C311" s="8" t="str">
        <f>"Ord-02-23-"&amp;TEXT(ROW(C33),"000")</f>
        <v>Ord-02-23-033</v>
      </c>
      <c r="D311" s="6" t="s">
        <v>9</v>
      </c>
      <c r="E311" s="10" t="s">
        <v>33</v>
      </c>
      <c r="F311" s="10" t="s">
        <v>47</v>
      </c>
      <c r="G311" s="10" t="s">
        <v>65</v>
      </c>
      <c r="H311" s="10">
        <v>25</v>
      </c>
      <c r="I311" s="6">
        <v>600</v>
      </c>
      <c r="J311" s="6">
        <f>H311*I311</f>
        <v>15000</v>
      </c>
    </row>
    <row r="312" spans="2:10" ht="20.100000000000001" customHeight="1" x14ac:dyDescent="0.25">
      <c r="B312" s="4">
        <v>44964</v>
      </c>
      <c r="C312" s="8" t="str">
        <f>"Ord-02-23-"&amp;TEXT(ROW(C34),"000")</f>
        <v>Ord-02-23-034</v>
      </c>
      <c r="D312" s="6" t="s">
        <v>17</v>
      </c>
      <c r="E312" s="10" t="s">
        <v>31</v>
      </c>
      <c r="F312" s="10" t="s">
        <v>43</v>
      </c>
      <c r="G312" s="10" t="s">
        <v>63</v>
      </c>
      <c r="H312" s="13">
        <v>4200</v>
      </c>
      <c r="I312" s="7">
        <v>3</v>
      </c>
      <c r="J312" s="6">
        <f>H312*I312</f>
        <v>12600</v>
      </c>
    </row>
    <row r="313" spans="2:10" ht="20.100000000000001" customHeight="1" x14ac:dyDescent="0.25">
      <c r="B313" s="4">
        <v>44964</v>
      </c>
      <c r="C313" s="8" t="str">
        <f>"Ord-02-23-"&amp;TEXT(ROW(C35),"000")</f>
        <v>Ord-02-23-035</v>
      </c>
      <c r="D313" s="6" t="s">
        <v>19</v>
      </c>
      <c r="E313" s="10" t="s">
        <v>31</v>
      </c>
      <c r="F313" s="10" t="s">
        <v>43</v>
      </c>
      <c r="G313" s="10" t="s">
        <v>61</v>
      </c>
      <c r="H313" s="10">
        <v>18000</v>
      </c>
      <c r="I313" s="6">
        <v>1</v>
      </c>
      <c r="J313" s="6">
        <f>H313*I313</f>
        <v>18000</v>
      </c>
    </row>
    <row r="314" spans="2:10" ht="20.100000000000001" customHeight="1" x14ac:dyDescent="0.25">
      <c r="B314" s="4">
        <v>44964</v>
      </c>
      <c r="C314" s="8" t="str">
        <f>"Ord-02-23-"&amp;TEXT(ROW(C36),"000")</f>
        <v>Ord-02-23-036</v>
      </c>
      <c r="D314" s="6" t="s">
        <v>9</v>
      </c>
      <c r="E314" s="10" t="s">
        <v>36</v>
      </c>
      <c r="F314" s="10" t="s">
        <v>36</v>
      </c>
      <c r="G314" s="10" t="s">
        <v>41</v>
      </c>
      <c r="H314" s="13">
        <v>2000</v>
      </c>
      <c r="I314" s="7">
        <v>3</v>
      </c>
      <c r="J314" s="6">
        <f>H314*I314</f>
        <v>6000</v>
      </c>
    </row>
    <row r="315" spans="2:10" ht="20.100000000000001" customHeight="1" x14ac:dyDescent="0.25">
      <c r="B315" s="4">
        <v>44964</v>
      </c>
      <c r="C315" s="8" t="str">
        <f>"Ord-02-23-"&amp;TEXT(ROW(C37),"000")</f>
        <v>Ord-02-23-037</v>
      </c>
      <c r="D315" s="6" t="s">
        <v>15</v>
      </c>
      <c r="E315" s="10" t="s">
        <v>27</v>
      </c>
      <c r="F315" s="10" t="s">
        <v>50</v>
      </c>
      <c r="G315" s="10" t="s">
        <v>53</v>
      </c>
      <c r="H315" s="10">
        <v>3500</v>
      </c>
      <c r="I315" s="6">
        <v>3</v>
      </c>
      <c r="J315" s="6">
        <f>H315*I315</f>
        <v>10500</v>
      </c>
    </row>
    <row r="316" spans="2:10" ht="20.100000000000001" customHeight="1" x14ac:dyDescent="0.25">
      <c r="B316" s="4">
        <v>44964</v>
      </c>
      <c r="C316" s="8" t="str">
        <f>"Ord-02-23-"&amp;TEXT(ROW(C38),"000")</f>
        <v>Ord-02-23-038</v>
      </c>
      <c r="D316" s="6" t="s">
        <v>15</v>
      </c>
      <c r="E316" s="10" t="s">
        <v>27</v>
      </c>
      <c r="F316" s="10" t="s">
        <v>38</v>
      </c>
      <c r="G316" s="10" t="s">
        <v>53</v>
      </c>
      <c r="H316" s="13">
        <v>5500</v>
      </c>
      <c r="I316" s="7">
        <v>1</v>
      </c>
      <c r="J316" s="6">
        <f>H316*I316</f>
        <v>5500</v>
      </c>
    </row>
    <row r="317" spans="2:10" ht="20.100000000000001" customHeight="1" x14ac:dyDescent="0.25">
      <c r="B317" s="4">
        <v>44964</v>
      </c>
      <c r="C317" s="8" t="str">
        <f>"Ord-02-23-"&amp;TEXT(ROW(C39),"000")</f>
        <v>Ord-02-23-039</v>
      </c>
      <c r="D317" s="6" t="s">
        <v>17</v>
      </c>
      <c r="E317" s="10" t="s">
        <v>27</v>
      </c>
      <c r="F317" s="10" t="s">
        <v>37</v>
      </c>
      <c r="G317" s="10" t="s">
        <v>64</v>
      </c>
      <c r="H317" s="13">
        <v>4500</v>
      </c>
      <c r="I317" s="7">
        <v>2</v>
      </c>
      <c r="J317" s="6">
        <f>H317*I317</f>
        <v>9000</v>
      </c>
    </row>
    <row r="318" spans="2:10" ht="20.100000000000001" customHeight="1" x14ac:dyDescent="0.25">
      <c r="B318" s="4">
        <v>44964</v>
      </c>
      <c r="C318" s="8" t="str">
        <f>"Ord-02-23-"&amp;TEXT(ROW(C40),"000")</f>
        <v>Ord-02-23-040</v>
      </c>
      <c r="D318" s="6" t="s">
        <v>19</v>
      </c>
      <c r="E318" s="10" t="s">
        <v>34</v>
      </c>
      <c r="F318" s="10" t="s">
        <v>49</v>
      </c>
      <c r="G318" s="10" t="s">
        <v>75</v>
      </c>
      <c r="H318" s="10">
        <v>4300</v>
      </c>
      <c r="I318" s="6">
        <v>3</v>
      </c>
      <c r="J318" s="6">
        <f>H318*I318</f>
        <v>12900</v>
      </c>
    </row>
    <row r="319" spans="2:10" ht="20.100000000000001" customHeight="1" x14ac:dyDescent="0.25">
      <c r="B319" s="4">
        <v>44965</v>
      </c>
      <c r="C319" s="8" t="str">
        <f>"Ord-02-23-"&amp;TEXT(ROW(C41),"000")</f>
        <v>Ord-02-23-041</v>
      </c>
      <c r="D319" s="6" t="s">
        <v>23</v>
      </c>
      <c r="E319" s="10" t="s">
        <v>28</v>
      </c>
      <c r="F319" s="10" t="s">
        <v>28</v>
      </c>
      <c r="G319" s="10" t="s">
        <v>71</v>
      </c>
      <c r="H319" s="10">
        <v>850</v>
      </c>
      <c r="I319" s="6">
        <v>2</v>
      </c>
      <c r="J319" s="6">
        <f>H319*I319</f>
        <v>1700</v>
      </c>
    </row>
    <row r="320" spans="2:10" ht="20.100000000000001" customHeight="1" x14ac:dyDescent="0.25">
      <c r="B320" s="4">
        <v>44965</v>
      </c>
      <c r="C320" s="8" t="str">
        <f>"Ord-02-23-"&amp;TEXT(ROW(C42),"000")</f>
        <v>Ord-02-23-042</v>
      </c>
      <c r="D320" s="6" t="s">
        <v>23</v>
      </c>
      <c r="E320" s="10" t="s">
        <v>30</v>
      </c>
      <c r="F320" s="10" t="s">
        <v>90</v>
      </c>
      <c r="G320" s="10" t="s">
        <v>86</v>
      </c>
      <c r="H320" s="10">
        <v>7500</v>
      </c>
      <c r="I320" s="6">
        <v>5</v>
      </c>
      <c r="J320" s="6">
        <f>H320*I320</f>
        <v>37500</v>
      </c>
    </row>
    <row r="321" spans="2:10" ht="20.100000000000001" customHeight="1" x14ac:dyDescent="0.25">
      <c r="B321" s="4">
        <v>44965</v>
      </c>
      <c r="C321" s="8" t="str">
        <f>"Ord-02-23-"&amp;TEXT(ROW(C43),"000")</f>
        <v>Ord-02-23-043</v>
      </c>
      <c r="D321" s="6" t="s">
        <v>23</v>
      </c>
      <c r="E321" s="10" t="s">
        <v>27</v>
      </c>
      <c r="F321" s="10" t="s">
        <v>42</v>
      </c>
      <c r="G321" s="10" t="s">
        <v>42</v>
      </c>
      <c r="H321" s="10">
        <v>2500</v>
      </c>
      <c r="I321" s="6">
        <v>3</v>
      </c>
      <c r="J321" s="6">
        <f>H321*I321</f>
        <v>7500</v>
      </c>
    </row>
    <row r="322" spans="2:10" ht="20.100000000000001" customHeight="1" x14ac:dyDescent="0.25">
      <c r="B322" s="4">
        <v>44965</v>
      </c>
      <c r="C322" s="8" t="str">
        <f>"Ord-02-23-"&amp;TEXT(ROW(C44),"000")</f>
        <v>Ord-02-23-044</v>
      </c>
      <c r="D322" s="6" t="s">
        <v>22</v>
      </c>
      <c r="E322" s="10" t="s">
        <v>27</v>
      </c>
      <c r="F322" s="10" t="s">
        <v>38</v>
      </c>
      <c r="G322" s="10" t="s">
        <v>53</v>
      </c>
      <c r="H322" s="10">
        <v>5500</v>
      </c>
      <c r="I322" s="6">
        <v>1</v>
      </c>
      <c r="J322" s="6">
        <f>H322*I322</f>
        <v>5500</v>
      </c>
    </row>
    <row r="323" spans="2:10" ht="20.100000000000001" customHeight="1" x14ac:dyDescent="0.25">
      <c r="B323" s="4">
        <v>44965</v>
      </c>
      <c r="C323" s="8" t="str">
        <f>"Ord-02-23-"&amp;TEXT(ROW(C45),"000")</f>
        <v>Ord-02-23-045</v>
      </c>
      <c r="D323" s="6" t="s">
        <v>22</v>
      </c>
      <c r="E323" s="10" t="s">
        <v>27</v>
      </c>
      <c r="F323" s="10" t="s">
        <v>38</v>
      </c>
      <c r="G323" s="10" t="s">
        <v>64</v>
      </c>
      <c r="H323" s="10">
        <v>4800</v>
      </c>
      <c r="I323" s="6">
        <v>2</v>
      </c>
      <c r="J323" s="6">
        <f>H323*I323</f>
        <v>9600</v>
      </c>
    </row>
    <row r="324" spans="2:10" ht="20.100000000000001" customHeight="1" x14ac:dyDescent="0.25">
      <c r="B324" s="4">
        <v>44966</v>
      </c>
      <c r="C324" s="8" t="str">
        <f>"Ord-02-23-"&amp;TEXT(ROW(C46),"000")</f>
        <v>Ord-02-23-046</v>
      </c>
      <c r="D324" s="6" t="s">
        <v>12</v>
      </c>
      <c r="E324" s="10" t="s">
        <v>32</v>
      </c>
      <c r="F324" s="10" t="s">
        <v>51</v>
      </c>
      <c r="G324" s="10" t="s">
        <v>70</v>
      </c>
      <c r="H324" s="10">
        <v>2600</v>
      </c>
      <c r="I324" s="6">
        <v>2</v>
      </c>
      <c r="J324" s="6">
        <f>H324*I324</f>
        <v>5200</v>
      </c>
    </row>
    <row r="325" spans="2:10" ht="20.100000000000001" customHeight="1" x14ac:dyDescent="0.25">
      <c r="B325" s="4">
        <v>44966</v>
      </c>
      <c r="C325" s="8" t="str">
        <f>"Ord-02-23-"&amp;TEXT(ROW(C47),"000")</f>
        <v>Ord-02-23-047</v>
      </c>
      <c r="D325" s="6" t="s">
        <v>9</v>
      </c>
      <c r="E325" s="10" t="s">
        <v>33</v>
      </c>
      <c r="F325" s="10" t="s">
        <v>46</v>
      </c>
      <c r="G325" s="10" t="s">
        <v>65</v>
      </c>
      <c r="H325" s="10">
        <v>15</v>
      </c>
      <c r="I325" s="6">
        <v>270</v>
      </c>
      <c r="J325" s="6">
        <f>H325*I325</f>
        <v>4050</v>
      </c>
    </row>
    <row r="326" spans="2:10" ht="20.100000000000001" customHeight="1" x14ac:dyDescent="0.25">
      <c r="B326" s="4">
        <v>44966</v>
      </c>
      <c r="C326" s="8" t="str">
        <f>"Ord-02-23-"&amp;TEXT(ROW(C48),"000")</f>
        <v>Ord-02-23-048</v>
      </c>
      <c r="D326" s="6" t="s">
        <v>21</v>
      </c>
      <c r="E326" s="10" t="s">
        <v>36</v>
      </c>
      <c r="F326" s="10" t="s">
        <v>36</v>
      </c>
      <c r="G326" s="10" t="s">
        <v>85</v>
      </c>
      <c r="H326" s="10">
        <v>2200</v>
      </c>
      <c r="I326" s="6">
        <v>3</v>
      </c>
      <c r="J326" s="6">
        <f>H326*I326</f>
        <v>6600</v>
      </c>
    </row>
    <row r="327" spans="2:10" ht="20.100000000000001" customHeight="1" x14ac:dyDescent="0.25">
      <c r="B327" s="4">
        <v>44966</v>
      </c>
      <c r="C327" s="8" t="str">
        <f>"Ord-02-23-"&amp;TEXT(ROW(C49),"000")</f>
        <v>Ord-02-23-049</v>
      </c>
      <c r="D327" s="6" t="s">
        <v>14</v>
      </c>
      <c r="E327" s="10" t="s">
        <v>29</v>
      </c>
      <c r="F327" s="10" t="s">
        <v>39</v>
      </c>
      <c r="G327" s="10" t="s">
        <v>60</v>
      </c>
      <c r="H327" s="10">
        <v>1500</v>
      </c>
      <c r="I327" s="6">
        <v>3</v>
      </c>
      <c r="J327" s="6">
        <f>H327*I327</f>
        <v>4500</v>
      </c>
    </row>
    <row r="328" spans="2:10" ht="20.100000000000001" customHeight="1" x14ac:dyDescent="0.25">
      <c r="B328" s="4">
        <v>44966</v>
      </c>
      <c r="C328" s="8" t="str">
        <f>"Ord-02-23-"&amp;TEXT(ROW(C50),"000")</f>
        <v>Ord-02-23-050</v>
      </c>
      <c r="D328" s="6" t="s">
        <v>25</v>
      </c>
      <c r="E328" s="10" t="s">
        <v>27</v>
      </c>
      <c r="F328" s="10" t="s">
        <v>50</v>
      </c>
      <c r="G328" s="10" t="s">
        <v>53</v>
      </c>
      <c r="H328" s="10">
        <v>3500</v>
      </c>
      <c r="I328" s="6">
        <v>5</v>
      </c>
      <c r="J328" s="6">
        <f>H328*I328</f>
        <v>17500</v>
      </c>
    </row>
    <row r="329" spans="2:10" ht="20.100000000000001" customHeight="1" x14ac:dyDescent="0.25">
      <c r="B329" s="4">
        <v>44967</v>
      </c>
      <c r="C329" s="8" t="str">
        <f>"Ord-02-23-"&amp;TEXT(ROW(C51),"000")</f>
        <v>Ord-02-23-051</v>
      </c>
      <c r="D329" s="6" t="s">
        <v>7</v>
      </c>
      <c r="E329" s="10" t="s">
        <v>32</v>
      </c>
      <c r="F329" s="10" t="s">
        <v>51</v>
      </c>
      <c r="G329" s="10" t="s">
        <v>72</v>
      </c>
      <c r="H329" s="10">
        <v>2200</v>
      </c>
      <c r="I329" s="6">
        <v>2</v>
      </c>
      <c r="J329" s="6">
        <f>H329*I329</f>
        <v>4400</v>
      </c>
    </row>
    <row r="330" spans="2:10" ht="20.100000000000001" customHeight="1" x14ac:dyDescent="0.25">
      <c r="B330" s="4">
        <v>44967</v>
      </c>
      <c r="C330" s="8" t="str">
        <f>"Ord-02-23-"&amp;TEXT(ROW(C52),"000")</f>
        <v>Ord-02-23-052</v>
      </c>
      <c r="D330" s="6" t="s">
        <v>17</v>
      </c>
      <c r="E330" s="10" t="s">
        <v>31</v>
      </c>
      <c r="F330" s="10" t="s">
        <v>52</v>
      </c>
      <c r="G330" s="10" t="s">
        <v>82</v>
      </c>
      <c r="H330" s="10">
        <v>5000</v>
      </c>
      <c r="I330" s="6">
        <v>2</v>
      </c>
      <c r="J330" s="6">
        <f>H330*I330</f>
        <v>10000</v>
      </c>
    </row>
    <row r="331" spans="2:10" ht="20.100000000000001" customHeight="1" x14ac:dyDescent="0.25">
      <c r="B331" s="4">
        <v>44967</v>
      </c>
      <c r="C331" s="8" t="str">
        <f>"Ord-02-23-"&amp;TEXT(ROW(C53),"000")</f>
        <v>Ord-02-23-053</v>
      </c>
      <c r="D331" s="6" t="s">
        <v>15</v>
      </c>
      <c r="E331" s="10" t="s">
        <v>31</v>
      </c>
      <c r="F331" s="10" t="s">
        <v>48</v>
      </c>
      <c r="G331" s="10" t="s">
        <v>76</v>
      </c>
      <c r="H331" s="10">
        <v>3500</v>
      </c>
      <c r="I331" s="6">
        <v>1</v>
      </c>
      <c r="J331" s="6">
        <f>H331*I331</f>
        <v>3500</v>
      </c>
    </row>
    <row r="332" spans="2:10" ht="20.100000000000001" customHeight="1" x14ac:dyDescent="0.25">
      <c r="B332" s="4">
        <v>44967</v>
      </c>
      <c r="C332" s="8" t="str">
        <f>"Ord-02-23-"&amp;TEXT(ROW(C54),"000")</f>
        <v>Ord-02-23-054</v>
      </c>
      <c r="D332" s="6" t="s">
        <v>21</v>
      </c>
      <c r="E332" s="10" t="s">
        <v>27</v>
      </c>
      <c r="F332" s="10" t="s">
        <v>38</v>
      </c>
      <c r="G332" s="10" t="s">
        <v>64</v>
      </c>
      <c r="H332" s="10">
        <v>4800</v>
      </c>
      <c r="I332" s="6">
        <v>4</v>
      </c>
      <c r="J332" s="6">
        <f>H332*I332</f>
        <v>19200</v>
      </c>
    </row>
    <row r="333" spans="2:10" ht="20.100000000000001" customHeight="1" x14ac:dyDescent="0.25">
      <c r="B333" s="4">
        <v>44967</v>
      </c>
      <c r="C333" s="8" t="str">
        <f>"Ord-02-23-"&amp;TEXT(ROW(C55),"000")</f>
        <v>Ord-02-23-055</v>
      </c>
      <c r="D333" s="6" t="s">
        <v>7</v>
      </c>
      <c r="E333" s="10" t="s">
        <v>34</v>
      </c>
      <c r="F333" s="10" t="s">
        <v>49</v>
      </c>
      <c r="G333" s="10" t="s">
        <v>75</v>
      </c>
      <c r="H333" s="10">
        <v>4300</v>
      </c>
      <c r="I333" s="6">
        <v>3</v>
      </c>
      <c r="J333" s="6">
        <f>H333*I333</f>
        <v>12900</v>
      </c>
    </row>
    <row r="334" spans="2:10" ht="20.100000000000001" customHeight="1" x14ac:dyDescent="0.25">
      <c r="B334" s="4">
        <v>44968</v>
      </c>
      <c r="C334" s="8" t="str">
        <f>"Ord-02-23-"&amp;TEXT(ROW(C56),"000")</f>
        <v>Ord-02-23-056</v>
      </c>
      <c r="D334" s="6" t="s">
        <v>12</v>
      </c>
      <c r="E334" s="10" t="s">
        <v>32</v>
      </c>
      <c r="F334" s="10" t="s">
        <v>51</v>
      </c>
      <c r="G334" s="10" t="s">
        <v>70</v>
      </c>
      <c r="H334" s="10">
        <v>2600</v>
      </c>
      <c r="I334" s="6">
        <v>3</v>
      </c>
      <c r="J334" s="6">
        <f>H334*I334</f>
        <v>7800</v>
      </c>
    </row>
    <row r="335" spans="2:10" ht="20.100000000000001" customHeight="1" x14ac:dyDescent="0.25">
      <c r="B335" s="4">
        <v>44968</v>
      </c>
      <c r="C335" s="8" t="str">
        <f>"Ord-02-23-"&amp;TEXT(ROW(C57),"000")</f>
        <v>Ord-02-23-057</v>
      </c>
      <c r="D335" s="6" t="s">
        <v>26</v>
      </c>
      <c r="E335" s="10" t="s">
        <v>31</v>
      </c>
      <c r="F335" s="10" t="s">
        <v>45</v>
      </c>
      <c r="G335" s="10" t="s">
        <v>63</v>
      </c>
      <c r="H335" s="10">
        <v>1800</v>
      </c>
      <c r="I335" s="6">
        <v>4</v>
      </c>
      <c r="J335" s="6">
        <f>H335*I335</f>
        <v>7200</v>
      </c>
    </row>
    <row r="336" spans="2:10" ht="20.100000000000001" customHeight="1" x14ac:dyDescent="0.25">
      <c r="B336" s="4">
        <v>44968</v>
      </c>
      <c r="C336" s="8" t="str">
        <f>"Ord-02-23-"&amp;TEXT(ROW(C58),"000")</f>
        <v>Ord-02-23-058</v>
      </c>
      <c r="D336" s="6" t="s">
        <v>26</v>
      </c>
      <c r="E336" s="10" t="s">
        <v>31</v>
      </c>
      <c r="F336" s="10" t="s">
        <v>45</v>
      </c>
      <c r="G336" s="10" t="s">
        <v>66</v>
      </c>
      <c r="H336" s="10">
        <v>2300</v>
      </c>
      <c r="I336" s="6">
        <v>2</v>
      </c>
      <c r="J336" s="6">
        <f>H336*I336</f>
        <v>4600</v>
      </c>
    </row>
    <row r="337" spans="2:10" ht="20.100000000000001" customHeight="1" x14ac:dyDescent="0.25">
      <c r="B337" s="4">
        <v>44968</v>
      </c>
      <c r="C337" s="8" t="str">
        <f>"Ord-02-23-"&amp;TEXT(ROW(C59),"000")</f>
        <v>Ord-02-23-059</v>
      </c>
      <c r="D337" s="6" t="s">
        <v>11</v>
      </c>
      <c r="E337" s="10" t="s">
        <v>29</v>
      </c>
      <c r="F337" s="10" t="s">
        <v>39</v>
      </c>
      <c r="G337" s="10" t="s">
        <v>56</v>
      </c>
      <c r="H337" s="10">
        <v>2500</v>
      </c>
      <c r="I337" s="6">
        <v>5</v>
      </c>
      <c r="J337" s="6">
        <f>H337*I337</f>
        <v>12500</v>
      </c>
    </row>
    <row r="338" spans="2:10" ht="20.100000000000001" customHeight="1" x14ac:dyDescent="0.25">
      <c r="B338" s="4">
        <v>44968</v>
      </c>
      <c r="C338" s="8" t="str">
        <f>"Ord-02-23-"&amp;TEXT(ROW(C60),"000")</f>
        <v>Ord-02-23-060</v>
      </c>
      <c r="D338" s="6" t="s">
        <v>20</v>
      </c>
      <c r="E338" s="10" t="s">
        <v>27</v>
      </c>
      <c r="F338" s="10" t="s">
        <v>50</v>
      </c>
      <c r="G338" s="10" t="s">
        <v>53</v>
      </c>
      <c r="H338" s="10">
        <v>3500</v>
      </c>
      <c r="I338" s="6">
        <v>3</v>
      </c>
      <c r="J338" s="6">
        <f>H338*I338</f>
        <v>10500</v>
      </c>
    </row>
    <row r="339" spans="2:10" ht="20.100000000000001" customHeight="1" x14ac:dyDescent="0.25">
      <c r="B339" s="4">
        <v>44969</v>
      </c>
      <c r="C339" s="8" t="str">
        <f>"Ord-02-23-"&amp;TEXT(ROW(C61),"000")</f>
        <v>Ord-02-23-061</v>
      </c>
      <c r="D339" s="6" t="s">
        <v>9</v>
      </c>
      <c r="E339" s="10" t="s">
        <v>28</v>
      </c>
      <c r="F339" s="10" t="s">
        <v>28</v>
      </c>
      <c r="G339" s="10" t="s">
        <v>77</v>
      </c>
      <c r="H339" s="10">
        <v>1200</v>
      </c>
      <c r="I339" s="6">
        <v>4</v>
      </c>
      <c r="J339" s="6">
        <f>H339*I339</f>
        <v>4800</v>
      </c>
    </row>
    <row r="340" spans="2:10" ht="20.100000000000001" customHeight="1" x14ac:dyDescent="0.25">
      <c r="B340" s="4">
        <v>44969</v>
      </c>
      <c r="C340" s="8" t="str">
        <f>"Ord-02-23-"&amp;TEXT(ROW(C62),"000")</f>
        <v>Ord-02-23-062</v>
      </c>
      <c r="D340" s="6" t="s">
        <v>24</v>
      </c>
      <c r="E340" s="10" t="s">
        <v>29</v>
      </c>
      <c r="F340" s="10" t="s">
        <v>39</v>
      </c>
      <c r="G340" s="10" t="s">
        <v>56</v>
      </c>
      <c r="H340" s="10">
        <v>2500</v>
      </c>
      <c r="I340" s="6">
        <v>1</v>
      </c>
      <c r="J340" s="6">
        <f>H340*I340</f>
        <v>2500</v>
      </c>
    </row>
    <row r="341" spans="2:10" ht="20.100000000000001" customHeight="1" x14ac:dyDescent="0.25">
      <c r="B341" s="4">
        <v>44969</v>
      </c>
      <c r="C341" s="8" t="str">
        <f>"Ord-02-23-"&amp;TEXT(ROW(C63),"000")</f>
        <v>Ord-02-23-063</v>
      </c>
      <c r="D341" s="6" t="s">
        <v>24</v>
      </c>
      <c r="E341" s="10" t="s">
        <v>27</v>
      </c>
      <c r="F341" s="10" t="s">
        <v>50</v>
      </c>
      <c r="G341" s="10" t="s">
        <v>54</v>
      </c>
      <c r="H341" s="10">
        <v>3200</v>
      </c>
      <c r="I341" s="6">
        <v>4</v>
      </c>
      <c r="J341" s="6">
        <f>H341*I341</f>
        <v>12800</v>
      </c>
    </row>
    <row r="342" spans="2:10" ht="20.100000000000001" customHeight="1" x14ac:dyDescent="0.25">
      <c r="B342" s="4">
        <v>44969</v>
      </c>
      <c r="C342" s="8" t="str">
        <f>"Ord-02-23-"&amp;TEXT(ROW(C64),"000")</f>
        <v>Ord-02-23-064</v>
      </c>
      <c r="D342" s="6" t="s">
        <v>24</v>
      </c>
      <c r="E342" s="10" t="s">
        <v>27</v>
      </c>
      <c r="F342" s="10" t="s">
        <v>38</v>
      </c>
      <c r="G342" s="10" t="s">
        <v>64</v>
      </c>
      <c r="H342" s="10">
        <v>4800</v>
      </c>
      <c r="I342" s="6">
        <v>2</v>
      </c>
      <c r="J342" s="6">
        <f>H342*I342</f>
        <v>9600</v>
      </c>
    </row>
    <row r="343" spans="2:10" ht="20.100000000000001" customHeight="1" x14ac:dyDescent="0.25">
      <c r="B343" s="4">
        <v>44969</v>
      </c>
      <c r="C343" s="8" t="str">
        <f>"Ord-02-23-"&amp;TEXT(ROW(C65),"000")</f>
        <v>Ord-02-23-065</v>
      </c>
      <c r="D343" s="6" t="s">
        <v>15</v>
      </c>
      <c r="E343" s="10" t="s">
        <v>27</v>
      </c>
      <c r="F343" s="10" t="s">
        <v>41</v>
      </c>
      <c r="G343" s="10" t="s">
        <v>64</v>
      </c>
      <c r="H343" s="10">
        <v>2500</v>
      </c>
      <c r="I343" s="6">
        <v>4</v>
      </c>
      <c r="J343" s="6">
        <f>H343*I343</f>
        <v>10000</v>
      </c>
    </row>
    <row r="344" spans="2:10" ht="20.100000000000001" customHeight="1" x14ac:dyDescent="0.25">
      <c r="B344" s="4">
        <v>44970</v>
      </c>
      <c r="C344" s="8" t="str">
        <f>"Ord-02-23-"&amp;TEXT(ROW(C66),"000")</f>
        <v>Ord-02-23-066</v>
      </c>
      <c r="D344" s="6" t="s">
        <v>13</v>
      </c>
      <c r="E344" s="10" t="s">
        <v>35</v>
      </c>
      <c r="F344" s="12" t="s">
        <v>90</v>
      </c>
      <c r="G344" s="10" t="s">
        <v>55</v>
      </c>
      <c r="H344" s="10">
        <v>5000</v>
      </c>
      <c r="I344" s="6">
        <v>1</v>
      </c>
      <c r="J344" s="6">
        <f>H344*I344</f>
        <v>5000</v>
      </c>
    </row>
    <row r="345" spans="2:10" ht="20.100000000000001" customHeight="1" x14ac:dyDescent="0.25">
      <c r="B345" s="4">
        <v>44970</v>
      </c>
      <c r="C345" s="8" t="str">
        <f>"Ord-02-23-"&amp;TEXT(ROW(C67),"000")</f>
        <v>Ord-02-23-067</v>
      </c>
      <c r="D345" s="6" t="s">
        <v>25</v>
      </c>
      <c r="E345" s="10" t="s">
        <v>33</v>
      </c>
      <c r="F345" s="10" t="s">
        <v>46</v>
      </c>
      <c r="G345" s="10" t="s">
        <v>65</v>
      </c>
      <c r="H345" s="10">
        <v>15</v>
      </c>
      <c r="I345" s="6">
        <v>550</v>
      </c>
      <c r="J345" s="6">
        <f>H345*I345</f>
        <v>8250</v>
      </c>
    </row>
    <row r="346" spans="2:10" ht="20.100000000000001" customHeight="1" x14ac:dyDescent="0.25">
      <c r="B346" s="4">
        <v>44970</v>
      </c>
      <c r="C346" s="8" t="str">
        <f>"Ord-02-23-"&amp;TEXT(ROW(C68),"000")</f>
        <v>Ord-02-23-068</v>
      </c>
      <c r="D346" s="6" t="s">
        <v>26</v>
      </c>
      <c r="E346" s="10" t="s">
        <v>33</v>
      </c>
      <c r="F346" s="10" t="s">
        <v>46</v>
      </c>
      <c r="G346" s="10" t="s">
        <v>65</v>
      </c>
      <c r="H346" s="10">
        <v>15</v>
      </c>
      <c r="I346" s="6">
        <v>650</v>
      </c>
      <c r="J346" s="6">
        <f>H346*I346</f>
        <v>9750</v>
      </c>
    </row>
    <row r="347" spans="2:10" ht="20.100000000000001" customHeight="1" x14ac:dyDescent="0.25">
      <c r="B347" s="4">
        <v>44970</v>
      </c>
      <c r="C347" s="8" t="str">
        <f>"Ord-02-23-"&amp;TEXT(ROW(C69),"000")</f>
        <v>Ord-02-23-069</v>
      </c>
      <c r="D347" s="6" t="s">
        <v>21</v>
      </c>
      <c r="E347" s="10" t="s">
        <v>29</v>
      </c>
      <c r="F347" s="10" t="s">
        <v>39</v>
      </c>
      <c r="G347" s="10" t="s">
        <v>60</v>
      </c>
      <c r="H347" s="10">
        <v>1500</v>
      </c>
      <c r="I347" s="6">
        <v>4</v>
      </c>
      <c r="J347" s="6">
        <f>H347*I347</f>
        <v>6000</v>
      </c>
    </row>
    <row r="348" spans="2:10" ht="20.100000000000001" customHeight="1" x14ac:dyDescent="0.25">
      <c r="B348" s="4">
        <v>44970</v>
      </c>
      <c r="C348" s="8" t="str">
        <f>"Ord-02-23-"&amp;TEXT(ROW(C70),"000")</f>
        <v>Ord-02-23-070</v>
      </c>
      <c r="D348" s="6" t="s">
        <v>10</v>
      </c>
      <c r="E348" s="10" t="s">
        <v>30</v>
      </c>
      <c r="F348" s="10" t="s">
        <v>90</v>
      </c>
      <c r="G348" s="10" t="s">
        <v>86</v>
      </c>
      <c r="H348" s="10">
        <v>7500</v>
      </c>
      <c r="I348" s="6">
        <v>5</v>
      </c>
      <c r="J348" s="6">
        <f>H348*I348</f>
        <v>37500</v>
      </c>
    </row>
    <row r="349" spans="2:10" ht="20.100000000000001" customHeight="1" x14ac:dyDescent="0.25">
      <c r="B349" s="4">
        <v>44971</v>
      </c>
      <c r="C349" s="8" t="str">
        <f>"Ord-02-23-"&amp;TEXT(ROW(C71),"000")</f>
        <v>Ord-02-23-071</v>
      </c>
      <c r="D349" s="6" t="s">
        <v>22</v>
      </c>
      <c r="E349" s="10" t="s">
        <v>35</v>
      </c>
      <c r="F349" s="12" t="s">
        <v>90</v>
      </c>
      <c r="G349" s="10" t="s">
        <v>58</v>
      </c>
      <c r="H349" s="13">
        <v>7500</v>
      </c>
      <c r="I349" s="6">
        <v>4</v>
      </c>
      <c r="J349" s="6">
        <f>H349*I349</f>
        <v>30000</v>
      </c>
    </row>
    <row r="350" spans="2:10" ht="20.100000000000001" customHeight="1" x14ac:dyDescent="0.25">
      <c r="B350" s="4">
        <v>44971</v>
      </c>
      <c r="C350" s="8" t="str">
        <f>"Ord-02-23-"&amp;TEXT(ROW(C72),"000")</f>
        <v>Ord-02-23-072</v>
      </c>
      <c r="D350" s="6" t="s">
        <v>20</v>
      </c>
      <c r="E350" s="10" t="s">
        <v>33</v>
      </c>
      <c r="F350" s="10" t="s">
        <v>46</v>
      </c>
      <c r="G350" s="10" t="s">
        <v>65</v>
      </c>
      <c r="H350" s="10">
        <v>15</v>
      </c>
      <c r="I350" s="6">
        <v>500</v>
      </c>
      <c r="J350" s="6">
        <f>H350*I350</f>
        <v>7500</v>
      </c>
    </row>
    <row r="351" spans="2:10" ht="20.100000000000001" customHeight="1" x14ac:dyDescent="0.25">
      <c r="B351" s="4">
        <v>44971</v>
      </c>
      <c r="C351" s="8" t="str">
        <f>"Ord-02-23-"&amp;TEXT(ROW(C73),"000")</f>
        <v>Ord-02-23-073</v>
      </c>
      <c r="D351" s="6" t="s">
        <v>18</v>
      </c>
      <c r="E351" s="10" t="s">
        <v>31</v>
      </c>
      <c r="F351" s="10" t="s">
        <v>43</v>
      </c>
      <c r="G351" s="10" t="s">
        <v>67</v>
      </c>
      <c r="H351" s="10">
        <v>14500</v>
      </c>
      <c r="I351" s="6">
        <v>3</v>
      </c>
      <c r="J351" s="6">
        <f>H351*I351</f>
        <v>43500</v>
      </c>
    </row>
    <row r="352" spans="2:10" ht="20.100000000000001" customHeight="1" x14ac:dyDescent="0.25">
      <c r="B352" s="4">
        <v>44971</v>
      </c>
      <c r="C352" s="8" t="str">
        <f>"Ord-02-23-"&amp;TEXT(ROW(C74),"000")</f>
        <v>Ord-02-23-074</v>
      </c>
      <c r="D352" s="6" t="s">
        <v>12</v>
      </c>
      <c r="E352" s="10" t="s">
        <v>31</v>
      </c>
      <c r="F352" s="10" t="s">
        <v>52</v>
      </c>
      <c r="G352" s="10" t="s">
        <v>73</v>
      </c>
      <c r="H352" s="10">
        <v>2500</v>
      </c>
      <c r="I352" s="6">
        <v>2</v>
      </c>
      <c r="J352" s="6">
        <f>H352*I352</f>
        <v>5000</v>
      </c>
    </row>
    <row r="353" spans="2:10" ht="20.100000000000001" customHeight="1" x14ac:dyDescent="0.25">
      <c r="B353" s="4">
        <v>44971</v>
      </c>
      <c r="C353" s="8" t="str">
        <f>"Ord-02-23-"&amp;TEXT(ROW(C75),"000")</f>
        <v>Ord-02-23-075</v>
      </c>
      <c r="D353" s="6" t="s">
        <v>7</v>
      </c>
      <c r="E353" s="10" t="s">
        <v>29</v>
      </c>
      <c r="F353" s="10" t="s">
        <v>39</v>
      </c>
      <c r="G353" s="10" t="s">
        <v>60</v>
      </c>
      <c r="H353" s="10">
        <v>1500</v>
      </c>
      <c r="I353" s="6">
        <v>5</v>
      </c>
      <c r="J353" s="6">
        <f>H353*I353</f>
        <v>7500</v>
      </c>
    </row>
    <row r="354" spans="2:10" ht="20.100000000000001" customHeight="1" x14ac:dyDescent="0.25">
      <c r="B354" s="4">
        <v>44972</v>
      </c>
      <c r="C354" s="8" t="str">
        <f>"Ord-02-23-"&amp;TEXT(ROW(C76),"000")</f>
        <v>Ord-02-23-076</v>
      </c>
      <c r="D354" s="6" t="s">
        <v>9</v>
      </c>
      <c r="E354" s="10" t="s">
        <v>28</v>
      </c>
      <c r="F354" s="10" t="s">
        <v>28</v>
      </c>
      <c r="G354" s="10" t="s">
        <v>71</v>
      </c>
      <c r="H354" s="10">
        <v>850</v>
      </c>
      <c r="I354" s="6">
        <v>4</v>
      </c>
      <c r="J354" s="6">
        <f>H354*I354</f>
        <v>3400</v>
      </c>
    </row>
    <row r="355" spans="2:10" ht="20.100000000000001" customHeight="1" x14ac:dyDescent="0.25">
      <c r="B355" s="4">
        <v>44972</v>
      </c>
      <c r="C355" s="8" t="str">
        <f>"Ord-02-23-"&amp;TEXT(ROW(C77),"000")</f>
        <v>Ord-02-23-077</v>
      </c>
      <c r="D355" s="6" t="s">
        <v>21</v>
      </c>
      <c r="E355" s="10" t="s">
        <v>32</v>
      </c>
      <c r="F355" s="10" t="s">
        <v>51</v>
      </c>
      <c r="G355" s="10" t="s">
        <v>83</v>
      </c>
      <c r="H355" s="10">
        <v>4000</v>
      </c>
      <c r="I355" s="6">
        <v>4</v>
      </c>
      <c r="J355" s="6">
        <f>H355*I355</f>
        <v>16000</v>
      </c>
    </row>
    <row r="356" spans="2:10" ht="20.100000000000001" customHeight="1" x14ac:dyDescent="0.25">
      <c r="B356" s="4">
        <v>44972</v>
      </c>
      <c r="C356" s="8" t="str">
        <f>"Ord-02-23-"&amp;TEXT(ROW(C78),"000")</f>
        <v>Ord-02-23-078</v>
      </c>
      <c r="D356" s="6" t="s">
        <v>14</v>
      </c>
      <c r="E356" s="10" t="s">
        <v>33</v>
      </c>
      <c r="F356" s="10" t="s">
        <v>47</v>
      </c>
      <c r="G356" s="10" t="s">
        <v>65</v>
      </c>
      <c r="H356" s="10">
        <v>25</v>
      </c>
      <c r="I356" s="6">
        <v>500</v>
      </c>
      <c r="J356" s="6">
        <f>H356*I356</f>
        <v>12500</v>
      </c>
    </row>
    <row r="357" spans="2:10" ht="20.100000000000001" customHeight="1" x14ac:dyDescent="0.25">
      <c r="B357" s="4">
        <v>44972</v>
      </c>
      <c r="C357" s="8" t="str">
        <f>"Ord-02-23-"&amp;TEXT(ROW(C79),"000")</f>
        <v>Ord-02-23-079</v>
      </c>
      <c r="D357" s="6" t="s">
        <v>21</v>
      </c>
      <c r="E357" s="10" t="s">
        <v>31</v>
      </c>
      <c r="F357" s="10" t="s">
        <v>48</v>
      </c>
      <c r="G357" s="10" t="s">
        <v>76</v>
      </c>
      <c r="H357" s="10">
        <v>3500</v>
      </c>
      <c r="I357" s="6">
        <v>5</v>
      </c>
      <c r="J357" s="6">
        <f>H357*I357</f>
        <v>17500</v>
      </c>
    </row>
    <row r="358" spans="2:10" ht="20.100000000000001" customHeight="1" x14ac:dyDescent="0.25">
      <c r="B358" s="4">
        <v>44972</v>
      </c>
      <c r="C358" s="8" t="str">
        <f>"Ord-02-23-"&amp;TEXT(ROW(C80),"000")</f>
        <v>Ord-02-23-080</v>
      </c>
      <c r="D358" s="6" t="s">
        <v>25</v>
      </c>
      <c r="E358" s="10" t="s">
        <v>27</v>
      </c>
      <c r="F358" s="10" t="s">
        <v>42</v>
      </c>
      <c r="G358" s="10" t="s">
        <v>42</v>
      </c>
      <c r="H358" s="10">
        <v>2500</v>
      </c>
      <c r="I358" s="6">
        <v>4</v>
      </c>
      <c r="J358" s="6">
        <f>H358*I358</f>
        <v>10000</v>
      </c>
    </row>
    <row r="359" spans="2:10" ht="20.100000000000001" customHeight="1" x14ac:dyDescent="0.25">
      <c r="B359" s="4">
        <v>44973</v>
      </c>
      <c r="C359" s="8" t="str">
        <f>"Ord-02-23-"&amp;TEXT(ROW(C81),"000")</f>
        <v>Ord-02-23-081</v>
      </c>
      <c r="D359" s="6" t="s">
        <v>7</v>
      </c>
      <c r="E359" s="10" t="s">
        <v>31</v>
      </c>
      <c r="F359" s="10" t="s">
        <v>52</v>
      </c>
      <c r="G359" s="10" t="s">
        <v>66</v>
      </c>
      <c r="H359" s="10">
        <v>3200</v>
      </c>
      <c r="I359" s="6">
        <v>3</v>
      </c>
      <c r="J359" s="6">
        <f>H359*I359</f>
        <v>9600</v>
      </c>
    </row>
    <row r="360" spans="2:10" ht="20.100000000000001" customHeight="1" x14ac:dyDescent="0.25">
      <c r="B360" s="4">
        <v>44973</v>
      </c>
      <c r="C360" s="8" t="str">
        <f>"Ord-02-23-"&amp;TEXT(ROW(C82),"000")</f>
        <v>Ord-02-23-082</v>
      </c>
      <c r="D360" s="6" t="s">
        <v>19</v>
      </c>
      <c r="E360" s="10" t="s">
        <v>30</v>
      </c>
      <c r="F360" s="10" t="s">
        <v>90</v>
      </c>
      <c r="G360" s="10" t="s">
        <v>86</v>
      </c>
      <c r="H360" s="10">
        <v>7500</v>
      </c>
      <c r="I360" s="6">
        <v>5</v>
      </c>
      <c r="J360" s="6">
        <f>H360*I360</f>
        <v>37500</v>
      </c>
    </row>
    <row r="361" spans="2:10" ht="20.100000000000001" customHeight="1" x14ac:dyDescent="0.25">
      <c r="B361" s="4">
        <v>44973</v>
      </c>
      <c r="C361" s="8" t="str">
        <f>"Ord-02-23-"&amp;TEXT(ROW(C83),"000")</f>
        <v>Ord-02-23-083</v>
      </c>
      <c r="D361" s="6" t="s">
        <v>18</v>
      </c>
      <c r="E361" s="10" t="s">
        <v>27</v>
      </c>
      <c r="F361" s="10" t="s">
        <v>42</v>
      </c>
      <c r="G361" s="10" t="s">
        <v>42</v>
      </c>
      <c r="H361" s="10">
        <v>2500</v>
      </c>
      <c r="I361" s="6">
        <v>5</v>
      </c>
      <c r="J361" s="6">
        <f>H361*I361</f>
        <v>12500</v>
      </c>
    </row>
    <row r="362" spans="2:10" ht="20.100000000000001" customHeight="1" x14ac:dyDescent="0.25">
      <c r="B362" s="4">
        <v>44973</v>
      </c>
      <c r="C362" s="8" t="str">
        <f>"Ord-02-23-"&amp;TEXT(ROW(C84),"000")</f>
        <v>Ord-02-23-084</v>
      </c>
      <c r="D362" s="6" t="s">
        <v>7</v>
      </c>
      <c r="E362" s="10" t="s">
        <v>27</v>
      </c>
      <c r="F362" s="10" t="s">
        <v>38</v>
      </c>
      <c r="G362" s="10" t="s">
        <v>54</v>
      </c>
      <c r="H362" s="10">
        <v>5200</v>
      </c>
      <c r="I362" s="6">
        <v>2</v>
      </c>
      <c r="J362" s="6">
        <f>H362*I362</f>
        <v>10400</v>
      </c>
    </row>
    <row r="363" spans="2:10" ht="20.100000000000001" customHeight="1" x14ac:dyDescent="0.25">
      <c r="B363" s="4">
        <v>44973</v>
      </c>
      <c r="C363" s="8" t="str">
        <f>"Ord-02-23-"&amp;TEXT(ROW(C85),"000")</f>
        <v>Ord-02-23-085</v>
      </c>
      <c r="D363" s="6" t="s">
        <v>18</v>
      </c>
      <c r="E363" s="10" t="s">
        <v>27</v>
      </c>
      <c r="F363" s="10" t="s">
        <v>41</v>
      </c>
      <c r="G363" s="10" t="s">
        <v>64</v>
      </c>
      <c r="H363" s="10">
        <v>2500</v>
      </c>
      <c r="I363" s="6">
        <v>4</v>
      </c>
      <c r="J363" s="6">
        <f>H363*I363</f>
        <v>10000</v>
      </c>
    </row>
    <row r="364" spans="2:10" ht="20.100000000000001" customHeight="1" x14ac:dyDescent="0.25">
      <c r="B364" s="4">
        <v>44974</v>
      </c>
      <c r="C364" s="8" t="str">
        <f>"Ord-02-23-"&amp;TEXT(ROW(C86),"000")</f>
        <v>Ord-02-23-086</v>
      </c>
      <c r="D364" s="6" t="s">
        <v>22</v>
      </c>
      <c r="E364" s="10" t="s">
        <v>35</v>
      </c>
      <c r="F364" s="12" t="s">
        <v>90</v>
      </c>
      <c r="G364" s="10" t="s">
        <v>71</v>
      </c>
      <c r="H364" s="10">
        <v>5500</v>
      </c>
      <c r="I364" s="6">
        <v>5</v>
      </c>
      <c r="J364" s="6">
        <f>H364*I364</f>
        <v>27500</v>
      </c>
    </row>
    <row r="365" spans="2:10" ht="20.100000000000001" customHeight="1" x14ac:dyDescent="0.25">
      <c r="B365" s="4">
        <v>44974</v>
      </c>
      <c r="C365" s="8" t="str">
        <f>"Ord-02-23-"&amp;TEXT(ROW(C87),"000")</f>
        <v>Ord-02-23-087</v>
      </c>
      <c r="D365" s="6" t="s">
        <v>8</v>
      </c>
      <c r="E365" s="10" t="s">
        <v>32</v>
      </c>
      <c r="F365" s="10" t="s">
        <v>51</v>
      </c>
      <c r="G365" s="10" t="s">
        <v>81</v>
      </c>
      <c r="H365" s="10">
        <v>3000</v>
      </c>
      <c r="I365" s="6">
        <v>5</v>
      </c>
      <c r="J365" s="6">
        <f>H365*I365</f>
        <v>15000</v>
      </c>
    </row>
    <row r="366" spans="2:10" ht="20.100000000000001" customHeight="1" x14ac:dyDescent="0.25">
      <c r="B366" s="4">
        <v>44974</v>
      </c>
      <c r="C366" s="8" t="str">
        <f>"Ord-02-23-"&amp;TEXT(ROW(C88),"000")</f>
        <v>Ord-02-23-088</v>
      </c>
      <c r="D366" s="6" t="s">
        <v>13</v>
      </c>
      <c r="E366" s="10" t="s">
        <v>36</v>
      </c>
      <c r="F366" s="10" t="s">
        <v>36</v>
      </c>
      <c r="G366" s="10" t="s">
        <v>85</v>
      </c>
      <c r="H366" s="10">
        <v>2200</v>
      </c>
      <c r="I366" s="6">
        <v>4</v>
      </c>
      <c r="J366" s="6">
        <f>H366*I366</f>
        <v>8800</v>
      </c>
    </row>
    <row r="367" spans="2:10" ht="20.100000000000001" customHeight="1" x14ac:dyDescent="0.25">
      <c r="B367" s="4">
        <v>44974</v>
      </c>
      <c r="C367" s="8" t="str">
        <f>"Ord-02-23-"&amp;TEXT(ROW(C89),"000")</f>
        <v>Ord-02-23-089</v>
      </c>
      <c r="D367" s="6" t="s">
        <v>25</v>
      </c>
      <c r="E367" s="10" t="s">
        <v>29</v>
      </c>
      <c r="F367" s="10" t="s">
        <v>40</v>
      </c>
      <c r="G367" s="10" t="s">
        <v>57</v>
      </c>
      <c r="H367" s="10">
        <v>4000</v>
      </c>
      <c r="I367" s="6">
        <v>1</v>
      </c>
      <c r="J367" s="6">
        <f>H367*I367</f>
        <v>4000</v>
      </c>
    </row>
    <row r="368" spans="2:10" ht="20.100000000000001" customHeight="1" x14ac:dyDescent="0.25">
      <c r="B368" s="4">
        <v>44974</v>
      </c>
      <c r="C368" s="8" t="str">
        <f>"Ord-02-23-"&amp;TEXT(ROW(C90),"000")</f>
        <v>Ord-02-23-090</v>
      </c>
      <c r="D368" s="6" t="s">
        <v>26</v>
      </c>
      <c r="E368" s="10" t="s">
        <v>27</v>
      </c>
      <c r="F368" s="10" t="s">
        <v>41</v>
      </c>
      <c r="G368" s="10" t="s">
        <v>53</v>
      </c>
      <c r="H368" s="10">
        <v>3000</v>
      </c>
      <c r="I368" s="6">
        <v>3</v>
      </c>
      <c r="J368" s="6">
        <f>H368*I368</f>
        <v>9000</v>
      </c>
    </row>
    <row r="369" spans="2:10" ht="20.100000000000001" customHeight="1" x14ac:dyDescent="0.25">
      <c r="B369" s="4">
        <v>44975</v>
      </c>
      <c r="C369" s="8" t="str">
        <f>"Ord-02-23-"&amp;TEXT(ROW(C91),"000")</f>
        <v>Ord-02-23-091</v>
      </c>
      <c r="D369" s="6" t="s">
        <v>18</v>
      </c>
      <c r="E369" s="10" t="s">
        <v>32</v>
      </c>
      <c r="F369" s="10" t="s">
        <v>44</v>
      </c>
      <c r="G369" s="10" t="s">
        <v>72</v>
      </c>
      <c r="H369" s="10">
        <v>2200</v>
      </c>
      <c r="I369" s="6">
        <v>2</v>
      </c>
      <c r="J369" s="6">
        <f>H369*I369</f>
        <v>4400</v>
      </c>
    </row>
    <row r="370" spans="2:10" ht="20.100000000000001" customHeight="1" x14ac:dyDescent="0.25">
      <c r="B370" s="4">
        <v>44975</v>
      </c>
      <c r="C370" s="8" t="str">
        <f>"Ord-02-23-"&amp;TEXT(ROW(C92),"000")</f>
        <v>Ord-02-23-092</v>
      </c>
      <c r="D370" s="6" t="s">
        <v>7</v>
      </c>
      <c r="E370" s="10" t="s">
        <v>32</v>
      </c>
      <c r="F370" s="10" t="s">
        <v>44</v>
      </c>
      <c r="G370" s="10" t="s">
        <v>72</v>
      </c>
      <c r="H370" s="10">
        <v>2200</v>
      </c>
      <c r="I370" s="6">
        <v>1</v>
      </c>
      <c r="J370" s="6">
        <f>H370*I370</f>
        <v>2200</v>
      </c>
    </row>
    <row r="371" spans="2:10" ht="20.100000000000001" customHeight="1" x14ac:dyDescent="0.25">
      <c r="B371" s="4">
        <v>44975</v>
      </c>
      <c r="C371" s="8" t="str">
        <f>"Ord-02-23-"&amp;TEXT(ROW(C93),"000")</f>
        <v>Ord-02-23-093</v>
      </c>
      <c r="D371" s="6" t="s">
        <v>17</v>
      </c>
      <c r="E371" s="10" t="s">
        <v>29</v>
      </c>
      <c r="F371" s="10" t="s">
        <v>39</v>
      </c>
      <c r="G371" s="10" t="s">
        <v>56</v>
      </c>
      <c r="H371" s="10">
        <v>2500</v>
      </c>
      <c r="I371" s="6">
        <v>5</v>
      </c>
      <c r="J371" s="6">
        <f>H371*I371</f>
        <v>12500</v>
      </c>
    </row>
    <row r="372" spans="2:10" ht="20.100000000000001" customHeight="1" x14ac:dyDescent="0.25">
      <c r="B372" s="4">
        <v>44975</v>
      </c>
      <c r="C372" s="8" t="str">
        <f>"Ord-02-23-"&amp;TEXT(ROW(C94),"000")</f>
        <v>Ord-02-23-094</v>
      </c>
      <c r="D372" s="6" t="s">
        <v>18</v>
      </c>
      <c r="E372" s="10" t="s">
        <v>30</v>
      </c>
      <c r="F372" s="10" t="s">
        <v>90</v>
      </c>
      <c r="G372" s="10" t="s">
        <v>86</v>
      </c>
      <c r="H372" s="10">
        <v>7500</v>
      </c>
      <c r="I372" s="6">
        <v>4</v>
      </c>
      <c r="J372" s="6">
        <f>H372*I372</f>
        <v>30000</v>
      </c>
    </row>
    <row r="373" spans="2:10" ht="20.100000000000001" customHeight="1" x14ac:dyDescent="0.25">
      <c r="B373" s="4">
        <v>44975</v>
      </c>
      <c r="C373" s="8" t="str">
        <f>"Ord-02-23-"&amp;TEXT(ROW(C95),"000")</f>
        <v>Ord-02-23-095</v>
      </c>
      <c r="D373" s="6" t="s">
        <v>9</v>
      </c>
      <c r="E373" s="10" t="s">
        <v>34</v>
      </c>
      <c r="F373" s="10" t="s">
        <v>49</v>
      </c>
      <c r="G373" s="10" t="s">
        <v>75</v>
      </c>
      <c r="H373" s="10">
        <v>4300</v>
      </c>
      <c r="I373" s="6">
        <v>4</v>
      </c>
      <c r="J373" s="6">
        <f>H373*I373</f>
        <v>17200</v>
      </c>
    </row>
    <row r="374" spans="2:10" ht="20.100000000000001" customHeight="1" x14ac:dyDescent="0.25">
      <c r="B374" s="4">
        <v>44976</v>
      </c>
      <c r="C374" s="8" t="str">
        <f>"Ord-02-23-"&amp;TEXT(ROW(C96),"000")</f>
        <v>Ord-02-23-096</v>
      </c>
      <c r="D374" s="6" t="s">
        <v>7</v>
      </c>
      <c r="E374" s="10" t="s">
        <v>35</v>
      </c>
      <c r="F374" s="12" t="s">
        <v>90</v>
      </c>
      <c r="G374" s="10" t="s">
        <v>71</v>
      </c>
      <c r="H374" s="10">
        <v>5500</v>
      </c>
      <c r="I374" s="6">
        <v>5</v>
      </c>
      <c r="J374" s="6">
        <f>H374*I374</f>
        <v>27500</v>
      </c>
    </row>
    <row r="375" spans="2:10" ht="20.100000000000001" customHeight="1" x14ac:dyDescent="0.25">
      <c r="B375" s="4">
        <v>44976</v>
      </c>
      <c r="C375" s="8" t="str">
        <f>"Ord-02-23-"&amp;TEXT(ROW(C97),"000")</f>
        <v>Ord-02-23-097</v>
      </c>
      <c r="D375" s="6" t="s">
        <v>10</v>
      </c>
      <c r="E375" s="10" t="s">
        <v>32</v>
      </c>
      <c r="F375" s="10" t="s">
        <v>51</v>
      </c>
      <c r="G375" s="10" t="s">
        <v>70</v>
      </c>
      <c r="H375" s="10">
        <v>2600</v>
      </c>
      <c r="I375" s="6">
        <v>5</v>
      </c>
      <c r="J375" s="6">
        <f>H375*I375</f>
        <v>13000</v>
      </c>
    </row>
    <row r="376" spans="2:10" ht="20.100000000000001" customHeight="1" x14ac:dyDescent="0.25">
      <c r="B376" s="4">
        <v>44976</v>
      </c>
      <c r="C376" s="8" t="str">
        <f>"Ord-02-23-"&amp;TEXT(ROW(C98),"000")</f>
        <v>Ord-02-23-098</v>
      </c>
      <c r="D376" s="6" t="s">
        <v>22</v>
      </c>
      <c r="E376" s="10" t="s">
        <v>32</v>
      </c>
      <c r="F376" s="10" t="s">
        <v>51</v>
      </c>
      <c r="G376" s="10" t="s">
        <v>81</v>
      </c>
      <c r="H376" s="10">
        <v>3000</v>
      </c>
      <c r="I376" s="6">
        <v>4</v>
      </c>
      <c r="J376" s="6">
        <f>H376*I376</f>
        <v>12000</v>
      </c>
    </row>
    <row r="377" spans="2:10" ht="20.100000000000001" customHeight="1" x14ac:dyDescent="0.25">
      <c r="B377" s="4">
        <v>44976</v>
      </c>
      <c r="C377" s="8" t="str">
        <f>"Ord-02-23-"&amp;TEXT(ROW(C99),"000")</f>
        <v>Ord-02-23-099</v>
      </c>
      <c r="D377" s="6" t="s">
        <v>24</v>
      </c>
      <c r="E377" s="10" t="s">
        <v>27</v>
      </c>
      <c r="F377" s="10" t="s">
        <v>41</v>
      </c>
      <c r="G377" s="10" t="s">
        <v>64</v>
      </c>
      <c r="H377" s="10">
        <v>2500</v>
      </c>
      <c r="I377" s="6">
        <v>2</v>
      </c>
      <c r="J377" s="6">
        <f>H377*I377</f>
        <v>5000</v>
      </c>
    </row>
    <row r="378" spans="2:10" ht="20.100000000000001" customHeight="1" x14ac:dyDescent="0.25">
      <c r="B378" s="4">
        <v>44976</v>
      </c>
      <c r="C378" s="8" t="str">
        <f>"Ord-02-23-"&amp;TEXT(ROW(C100),"000")</f>
        <v>Ord-02-23-100</v>
      </c>
      <c r="D378" s="6" t="s">
        <v>26</v>
      </c>
      <c r="E378" s="10" t="s">
        <v>34</v>
      </c>
      <c r="F378" s="10" t="s">
        <v>49</v>
      </c>
      <c r="G378" s="10" t="s">
        <v>75</v>
      </c>
      <c r="H378" s="10">
        <v>4300</v>
      </c>
      <c r="I378" s="6">
        <v>4</v>
      </c>
      <c r="J378" s="6">
        <f>H378*I378</f>
        <v>17200</v>
      </c>
    </row>
    <row r="379" spans="2:10" ht="20.100000000000001" customHeight="1" x14ac:dyDescent="0.25">
      <c r="B379" s="4">
        <v>44977</v>
      </c>
      <c r="C379" s="8" t="str">
        <f>"Ord-02-23-"&amp;TEXT(ROW(C101),"000")</f>
        <v>Ord-02-23-101</v>
      </c>
      <c r="D379" s="6" t="s">
        <v>21</v>
      </c>
      <c r="E379" s="10" t="s">
        <v>35</v>
      </c>
      <c r="F379" s="12" t="s">
        <v>90</v>
      </c>
      <c r="G379" s="10" t="s">
        <v>71</v>
      </c>
      <c r="H379" s="10">
        <v>5500</v>
      </c>
      <c r="I379" s="6">
        <v>3</v>
      </c>
      <c r="J379" s="6">
        <f>H379*I379</f>
        <v>16500</v>
      </c>
    </row>
    <row r="380" spans="2:10" ht="20.100000000000001" customHeight="1" x14ac:dyDescent="0.25">
      <c r="B380" s="4">
        <v>44977</v>
      </c>
      <c r="C380" s="8" t="str">
        <f>"Ord-02-23-"&amp;TEXT(ROW(C102),"000")</f>
        <v>Ord-02-23-102</v>
      </c>
      <c r="D380" s="6" t="s">
        <v>11</v>
      </c>
      <c r="E380" s="10" t="s">
        <v>32</v>
      </c>
      <c r="F380" s="10" t="s">
        <v>51</v>
      </c>
      <c r="G380" s="10" t="s">
        <v>70</v>
      </c>
      <c r="H380" s="10">
        <v>2600</v>
      </c>
      <c r="I380" s="6">
        <v>1</v>
      </c>
      <c r="J380" s="6">
        <f>H380*I380</f>
        <v>2600</v>
      </c>
    </row>
    <row r="381" spans="2:10" ht="20.100000000000001" customHeight="1" x14ac:dyDescent="0.25">
      <c r="B381" s="4">
        <v>44977</v>
      </c>
      <c r="C381" s="8" t="str">
        <f>"Ord-02-23-"&amp;TEXT(ROW(C103),"000")</f>
        <v>Ord-02-23-103</v>
      </c>
      <c r="D381" s="6" t="s">
        <v>13</v>
      </c>
      <c r="E381" s="10" t="s">
        <v>33</v>
      </c>
      <c r="F381" s="10" t="s">
        <v>47</v>
      </c>
      <c r="G381" s="10" t="s">
        <v>65</v>
      </c>
      <c r="H381" s="10">
        <v>25</v>
      </c>
      <c r="I381" s="6">
        <v>500</v>
      </c>
      <c r="J381" s="6">
        <f>H381*I381</f>
        <v>12500</v>
      </c>
    </row>
    <row r="382" spans="2:10" ht="20.100000000000001" customHeight="1" x14ac:dyDescent="0.25">
      <c r="B382" s="4">
        <v>44977</v>
      </c>
      <c r="C382" s="8" t="str">
        <f>"Ord-02-23-"&amp;TEXT(ROW(C104),"000")</f>
        <v>Ord-02-23-104</v>
      </c>
      <c r="D382" s="6" t="s">
        <v>19</v>
      </c>
      <c r="E382" s="10" t="s">
        <v>30</v>
      </c>
      <c r="F382" s="10" t="s">
        <v>90</v>
      </c>
      <c r="G382" s="10" t="s">
        <v>86</v>
      </c>
      <c r="H382" s="10">
        <v>7500</v>
      </c>
      <c r="I382" s="6">
        <v>2</v>
      </c>
      <c r="J382" s="6">
        <f>H382*I382</f>
        <v>15000</v>
      </c>
    </row>
    <row r="383" spans="2:10" ht="20.100000000000001" customHeight="1" x14ac:dyDescent="0.25">
      <c r="B383" s="4">
        <v>44977</v>
      </c>
      <c r="C383" s="8" t="str">
        <f>"Ord-02-23-"&amp;TEXT(ROW(C105),"000")</f>
        <v>Ord-02-23-105</v>
      </c>
      <c r="D383" s="6" t="s">
        <v>19</v>
      </c>
      <c r="E383" s="10" t="s">
        <v>34</v>
      </c>
      <c r="F383" s="10" t="s">
        <v>49</v>
      </c>
      <c r="G383" s="10" t="s">
        <v>68</v>
      </c>
      <c r="H383" s="10">
        <v>4000</v>
      </c>
      <c r="I383" s="6">
        <v>3</v>
      </c>
      <c r="J383" s="6">
        <f>H383*I383</f>
        <v>12000</v>
      </c>
    </row>
    <row r="384" spans="2:10" ht="20.100000000000001" customHeight="1" x14ac:dyDescent="0.25">
      <c r="B384" s="4">
        <v>44978</v>
      </c>
      <c r="C384" s="8" t="str">
        <f>"Ord-02-23-"&amp;TEXT(ROW(C106),"000")</f>
        <v>Ord-02-23-106</v>
      </c>
      <c r="D384" s="6" t="s">
        <v>15</v>
      </c>
      <c r="E384" s="10" t="s">
        <v>32</v>
      </c>
      <c r="F384" s="10" t="s">
        <v>51</v>
      </c>
      <c r="G384" s="10" t="s">
        <v>80</v>
      </c>
      <c r="H384" s="10">
        <v>5500</v>
      </c>
      <c r="I384" s="6">
        <v>4</v>
      </c>
      <c r="J384" s="6">
        <f>H384*I384</f>
        <v>22000</v>
      </c>
    </row>
    <row r="385" spans="2:10" ht="20.100000000000001" customHeight="1" x14ac:dyDescent="0.25">
      <c r="B385" s="4">
        <v>44978</v>
      </c>
      <c r="C385" s="8" t="str">
        <f>"Ord-02-23-"&amp;TEXT(ROW(C107),"000")</f>
        <v>Ord-02-23-107</v>
      </c>
      <c r="D385" s="6" t="s">
        <v>23</v>
      </c>
      <c r="E385" s="10" t="s">
        <v>33</v>
      </c>
      <c r="F385" s="10" t="s">
        <v>47</v>
      </c>
      <c r="G385" s="10" t="s">
        <v>65</v>
      </c>
      <c r="H385" s="10">
        <v>25</v>
      </c>
      <c r="I385" s="6">
        <v>300</v>
      </c>
      <c r="J385" s="6">
        <f>H385*I385</f>
        <v>7500</v>
      </c>
    </row>
    <row r="386" spans="2:10" ht="20.100000000000001" customHeight="1" x14ac:dyDescent="0.25">
      <c r="B386" s="4">
        <v>44978</v>
      </c>
      <c r="C386" s="8" t="str">
        <f>"Ord-02-23-"&amp;TEXT(ROW(C108),"000")</f>
        <v>Ord-02-23-108</v>
      </c>
      <c r="D386" s="6" t="s">
        <v>15</v>
      </c>
      <c r="E386" s="10" t="s">
        <v>33</v>
      </c>
      <c r="F386" s="10" t="s">
        <v>47</v>
      </c>
      <c r="G386" s="10" t="s">
        <v>65</v>
      </c>
      <c r="H386" s="10">
        <v>25</v>
      </c>
      <c r="I386" s="6">
        <v>500</v>
      </c>
      <c r="J386" s="6">
        <f>H386*I386</f>
        <v>12500</v>
      </c>
    </row>
    <row r="387" spans="2:10" ht="20.100000000000001" customHeight="1" x14ac:dyDescent="0.25">
      <c r="B387" s="4">
        <v>44978</v>
      </c>
      <c r="C387" s="8" t="str">
        <f>"Ord-02-23-"&amp;TEXT(ROW(C109),"000")</f>
        <v>Ord-02-23-109</v>
      </c>
      <c r="D387" s="6" t="s">
        <v>14</v>
      </c>
      <c r="E387" s="10" t="s">
        <v>27</v>
      </c>
      <c r="F387" s="10" t="s">
        <v>38</v>
      </c>
      <c r="G387" s="10" t="s">
        <v>53</v>
      </c>
      <c r="H387" s="10">
        <v>5500</v>
      </c>
      <c r="I387" s="6">
        <v>4</v>
      </c>
      <c r="J387" s="6">
        <f>H387*I387</f>
        <v>22000</v>
      </c>
    </row>
    <row r="388" spans="2:10" ht="20.100000000000001" customHeight="1" x14ac:dyDescent="0.25">
      <c r="B388" s="4">
        <v>44978</v>
      </c>
      <c r="C388" s="8" t="str">
        <f>"Ord-02-23-"&amp;TEXT(ROW(C110),"000")</f>
        <v>Ord-02-23-110</v>
      </c>
      <c r="D388" s="6" t="s">
        <v>16</v>
      </c>
      <c r="E388" s="10" t="s">
        <v>27</v>
      </c>
      <c r="F388" s="10" t="s">
        <v>41</v>
      </c>
      <c r="G388" s="10" t="s">
        <v>53</v>
      </c>
      <c r="H388" s="10">
        <v>3000</v>
      </c>
      <c r="I388" s="6">
        <v>4</v>
      </c>
      <c r="J388" s="6">
        <f>H388*I388</f>
        <v>12000</v>
      </c>
    </row>
    <row r="389" spans="2:10" ht="20.100000000000001" customHeight="1" x14ac:dyDescent="0.25">
      <c r="B389" s="4">
        <v>44979</v>
      </c>
      <c r="C389" s="8" t="str">
        <f>"Ord-02-23-"&amp;TEXT(ROW(C111),"000")</f>
        <v>Ord-02-23-111</v>
      </c>
      <c r="D389" s="6" t="s">
        <v>24</v>
      </c>
      <c r="E389" s="10" t="s">
        <v>28</v>
      </c>
      <c r="F389" s="10" t="s">
        <v>28</v>
      </c>
      <c r="G389" s="10" t="s">
        <v>77</v>
      </c>
      <c r="H389" s="10">
        <v>1200</v>
      </c>
      <c r="I389" s="6">
        <v>3</v>
      </c>
      <c r="J389" s="6">
        <f>H389*I389</f>
        <v>3600</v>
      </c>
    </row>
    <row r="390" spans="2:10" ht="20.100000000000001" customHeight="1" x14ac:dyDescent="0.25">
      <c r="B390" s="4">
        <v>44979</v>
      </c>
      <c r="C390" s="8" t="str">
        <f>"Ord-02-23-"&amp;TEXT(ROW(C112),"000")</f>
        <v>Ord-02-23-112</v>
      </c>
      <c r="D390" s="6" t="s">
        <v>12</v>
      </c>
      <c r="E390" s="10" t="s">
        <v>29</v>
      </c>
      <c r="F390" s="10" t="s">
        <v>40</v>
      </c>
      <c r="G390" s="10" t="s">
        <v>84</v>
      </c>
      <c r="H390" s="10">
        <v>7500</v>
      </c>
      <c r="I390" s="6">
        <v>3</v>
      </c>
      <c r="J390" s="6">
        <f>H390*I390</f>
        <v>22500</v>
      </c>
    </row>
    <row r="391" spans="2:10" ht="20.100000000000001" customHeight="1" x14ac:dyDescent="0.25">
      <c r="B391" s="4">
        <v>44979</v>
      </c>
      <c r="C391" s="8" t="str">
        <f>"Ord-02-23-"&amp;TEXT(ROW(C113),"000")</f>
        <v>Ord-02-23-113</v>
      </c>
      <c r="D391" s="6" t="s">
        <v>24</v>
      </c>
      <c r="E391" s="10" t="s">
        <v>27</v>
      </c>
      <c r="F391" s="10" t="s">
        <v>38</v>
      </c>
      <c r="G391" s="10" t="s">
        <v>53</v>
      </c>
      <c r="H391" s="10">
        <v>5500</v>
      </c>
      <c r="I391" s="6">
        <v>1</v>
      </c>
      <c r="J391" s="6">
        <f>H391*I391</f>
        <v>5500</v>
      </c>
    </row>
    <row r="392" spans="2:10" ht="20.100000000000001" customHeight="1" x14ac:dyDescent="0.25">
      <c r="B392" s="4">
        <v>44979</v>
      </c>
      <c r="C392" s="8" t="str">
        <f>"Ord-02-23-"&amp;TEXT(ROW(C114),"000")</f>
        <v>Ord-02-23-114</v>
      </c>
      <c r="D392" s="6" t="s">
        <v>22</v>
      </c>
      <c r="E392" s="10" t="s">
        <v>27</v>
      </c>
      <c r="F392" s="10" t="s">
        <v>37</v>
      </c>
      <c r="G392" s="10" t="s">
        <v>53</v>
      </c>
      <c r="H392" s="10">
        <v>5200</v>
      </c>
      <c r="I392" s="6">
        <v>1</v>
      </c>
      <c r="J392" s="6">
        <f>H392*I392</f>
        <v>5200</v>
      </c>
    </row>
    <row r="393" spans="2:10" ht="20.100000000000001" customHeight="1" x14ac:dyDescent="0.25">
      <c r="B393" s="4">
        <v>44979</v>
      </c>
      <c r="C393" s="8" t="str">
        <f>"Ord-02-23-"&amp;TEXT(ROW(C115),"000")</f>
        <v>Ord-02-23-115</v>
      </c>
      <c r="D393" s="6" t="s">
        <v>20</v>
      </c>
      <c r="E393" s="10" t="s">
        <v>27</v>
      </c>
      <c r="F393" s="10" t="s">
        <v>41</v>
      </c>
      <c r="G393" s="10" t="s">
        <v>54</v>
      </c>
      <c r="H393" s="10">
        <v>2800</v>
      </c>
      <c r="I393" s="6">
        <v>1</v>
      </c>
      <c r="J393" s="6">
        <f>H393*I393</f>
        <v>2800</v>
      </c>
    </row>
    <row r="394" spans="2:10" ht="20.100000000000001" customHeight="1" x14ac:dyDescent="0.25">
      <c r="B394" s="4">
        <v>44980</v>
      </c>
      <c r="C394" s="8" t="str">
        <f>"Ord-02-23-"&amp;TEXT(ROW(C116),"000")</f>
        <v>Ord-02-23-116</v>
      </c>
      <c r="D394" s="6" t="s">
        <v>8</v>
      </c>
      <c r="E394" s="10" t="s">
        <v>35</v>
      </c>
      <c r="F394" s="12" t="s">
        <v>90</v>
      </c>
      <c r="G394" s="10" t="s">
        <v>77</v>
      </c>
      <c r="H394" s="10">
        <v>8500</v>
      </c>
      <c r="I394" s="6">
        <v>3</v>
      </c>
      <c r="J394" s="6">
        <f>H394*I394</f>
        <v>25500</v>
      </c>
    </row>
    <row r="395" spans="2:10" ht="20.100000000000001" customHeight="1" x14ac:dyDescent="0.25">
      <c r="B395" s="4">
        <v>44980</v>
      </c>
      <c r="C395" s="8" t="str">
        <f>"Ord-02-23-"&amp;TEXT(ROW(C117),"000")</f>
        <v>Ord-02-23-117</v>
      </c>
      <c r="D395" s="6" t="s">
        <v>24</v>
      </c>
      <c r="E395" s="10" t="s">
        <v>28</v>
      </c>
      <c r="F395" s="10" t="s">
        <v>28</v>
      </c>
      <c r="G395" s="10" t="s">
        <v>58</v>
      </c>
      <c r="H395" s="10">
        <v>1000</v>
      </c>
      <c r="I395" s="6">
        <v>4</v>
      </c>
      <c r="J395" s="6">
        <f>H395*I395</f>
        <v>4000</v>
      </c>
    </row>
    <row r="396" spans="2:10" ht="20.100000000000001" customHeight="1" x14ac:dyDescent="0.25">
      <c r="B396" s="4">
        <v>44980</v>
      </c>
      <c r="C396" s="8" t="str">
        <f>"Ord-02-23-"&amp;TEXT(ROW(C118),"000")</f>
        <v>Ord-02-23-118</v>
      </c>
      <c r="D396" s="6" t="s">
        <v>21</v>
      </c>
      <c r="E396" s="10" t="s">
        <v>33</v>
      </c>
      <c r="F396" s="10" t="s">
        <v>46</v>
      </c>
      <c r="G396" s="10" t="s">
        <v>65</v>
      </c>
      <c r="H396" s="10">
        <v>15</v>
      </c>
      <c r="I396" s="6">
        <v>300</v>
      </c>
      <c r="J396" s="6">
        <f>H396*I396</f>
        <v>4500</v>
      </c>
    </row>
    <row r="397" spans="2:10" ht="20.100000000000001" customHeight="1" x14ac:dyDescent="0.25">
      <c r="B397" s="4">
        <v>44980</v>
      </c>
      <c r="C397" s="8" t="str">
        <f>"Ord-02-23-"&amp;TEXT(ROW(C119),"000")</f>
        <v>Ord-02-23-119</v>
      </c>
      <c r="D397" s="6" t="s">
        <v>18</v>
      </c>
      <c r="E397" s="10" t="s">
        <v>30</v>
      </c>
      <c r="F397" s="10" t="s">
        <v>90</v>
      </c>
      <c r="G397" s="10" t="s">
        <v>59</v>
      </c>
      <c r="H397" s="10">
        <v>4800</v>
      </c>
      <c r="I397" s="6">
        <v>4</v>
      </c>
      <c r="J397" s="6">
        <f>H397*I397</f>
        <v>19200</v>
      </c>
    </row>
    <row r="398" spans="2:10" ht="20.100000000000001" customHeight="1" x14ac:dyDescent="0.25">
      <c r="B398" s="4">
        <v>44980</v>
      </c>
      <c r="C398" s="8" t="str">
        <f>"Ord-02-23-"&amp;TEXT(ROW(C120),"000")</f>
        <v>Ord-02-23-120</v>
      </c>
      <c r="D398" s="6" t="s">
        <v>11</v>
      </c>
      <c r="E398" s="10" t="s">
        <v>30</v>
      </c>
      <c r="F398" s="10" t="s">
        <v>90</v>
      </c>
      <c r="G398" s="10" t="s">
        <v>86</v>
      </c>
      <c r="H398" s="10">
        <v>7500</v>
      </c>
      <c r="I398" s="6">
        <v>5</v>
      </c>
      <c r="J398" s="6">
        <f>H398*I398</f>
        <v>37500</v>
      </c>
    </row>
    <row r="399" spans="2:10" ht="20.100000000000001" customHeight="1" x14ac:dyDescent="0.25">
      <c r="B399" s="4">
        <v>44981</v>
      </c>
      <c r="C399" s="8" t="str">
        <f>"Ord-02-23-"&amp;TEXT(ROW(C121),"000")</f>
        <v>Ord-02-23-121</v>
      </c>
      <c r="D399" s="6" t="s">
        <v>10</v>
      </c>
      <c r="E399" s="10" t="s">
        <v>35</v>
      </c>
      <c r="F399" s="12" t="s">
        <v>90</v>
      </c>
      <c r="G399" s="10" t="s">
        <v>58</v>
      </c>
      <c r="H399" s="10">
        <v>7500</v>
      </c>
      <c r="I399" s="6">
        <v>1</v>
      </c>
      <c r="J399" s="6">
        <f>H399*I399</f>
        <v>7500</v>
      </c>
    </row>
    <row r="400" spans="2:10" ht="20.100000000000001" customHeight="1" x14ac:dyDescent="0.25">
      <c r="B400" s="4">
        <v>44981</v>
      </c>
      <c r="C400" s="8" t="str">
        <f>"Ord-02-23-"&amp;TEXT(ROW(C122),"000")</f>
        <v>Ord-02-23-122</v>
      </c>
      <c r="D400" s="6" t="s">
        <v>24</v>
      </c>
      <c r="E400" s="10" t="s">
        <v>32</v>
      </c>
      <c r="F400" s="10" t="s">
        <v>44</v>
      </c>
      <c r="G400" s="10" t="s">
        <v>74</v>
      </c>
      <c r="H400" s="10">
        <v>1800</v>
      </c>
      <c r="I400" s="6">
        <v>5</v>
      </c>
      <c r="J400" s="6">
        <f>H400*I400</f>
        <v>9000</v>
      </c>
    </row>
    <row r="401" spans="2:10" ht="20.100000000000001" customHeight="1" x14ac:dyDescent="0.25">
      <c r="B401" s="4">
        <v>44981</v>
      </c>
      <c r="C401" s="8" t="str">
        <f>"Ord-02-23-"&amp;TEXT(ROW(C123),"000")</f>
        <v>Ord-02-23-123</v>
      </c>
      <c r="D401" s="6" t="s">
        <v>22</v>
      </c>
      <c r="E401" s="10" t="s">
        <v>29</v>
      </c>
      <c r="F401" s="10" t="s">
        <v>40</v>
      </c>
      <c r="G401" s="10" t="s">
        <v>84</v>
      </c>
      <c r="H401" s="10">
        <v>7500</v>
      </c>
      <c r="I401" s="6">
        <v>4</v>
      </c>
      <c r="J401" s="6">
        <f>H401*I401</f>
        <v>30000</v>
      </c>
    </row>
    <row r="402" spans="2:10" ht="20.100000000000001" customHeight="1" x14ac:dyDescent="0.25">
      <c r="B402" s="4">
        <v>44981</v>
      </c>
      <c r="C402" s="8" t="str">
        <f>"Ord-02-23-"&amp;TEXT(ROW(C124),"000")</f>
        <v>Ord-02-23-124</v>
      </c>
      <c r="D402" s="6" t="s">
        <v>16</v>
      </c>
      <c r="E402" s="10" t="s">
        <v>29</v>
      </c>
      <c r="F402" s="10" t="s">
        <v>39</v>
      </c>
      <c r="G402" s="10" t="s">
        <v>56</v>
      </c>
      <c r="H402" s="10">
        <v>2500</v>
      </c>
      <c r="I402" s="6">
        <v>2</v>
      </c>
      <c r="J402" s="6">
        <f>H402*I402</f>
        <v>5000</v>
      </c>
    </row>
    <row r="403" spans="2:10" ht="20.100000000000001" customHeight="1" x14ac:dyDescent="0.25">
      <c r="B403" s="4">
        <v>44981</v>
      </c>
      <c r="C403" s="8" t="str">
        <f>"Ord-02-23-"&amp;TEXT(ROW(C125),"000")</f>
        <v>Ord-02-23-125</v>
      </c>
      <c r="D403" s="6" t="s">
        <v>10</v>
      </c>
      <c r="E403" s="10" t="s">
        <v>27</v>
      </c>
      <c r="F403" s="10" t="s">
        <v>41</v>
      </c>
      <c r="G403" s="10" t="s">
        <v>64</v>
      </c>
      <c r="H403" s="10">
        <v>2500</v>
      </c>
      <c r="I403" s="6">
        <v>5</v>
      </c>
      <c r="J403" s="6">
        <f>H403*I403</f>
        <v>12500</v>
      </c>
    </row>
    <row r="404" spans="2:10" ht="20.100000000000001" customHeight="1" x14ac:dyDescent="0.25">
      <c r="B404" s="4">
        <v>44982</v>
      </c>
      <c r="C404" s="8" t="str">
        <f>"Ord-02-23-"&amp;TEXT(ROW(C126),"000")</f>
        <v>Ord-02-23-126</v>
      </c>
      <c r="D404" s="6" t="s">
        <v>24</v>
      </c>
      <c r="E404" s="10" t="s">
        <v>28</v>
      </c>
      <c r="F404" s="10" t="s">
        <v>28</v>
      </c>
      <c r="G404" s="10" t="s">
        <v>79</v>
      </c>
      <c r="H404" s="10">
        <v>600</v>
      </c>
      <c r="I404" s="6">
        <v>2</v>
      </c>
      <c r="J404" s="6">
        <f>H404*I404</f>
        <v>1200</v>
      </c>
    </row>
    <row r="405" spans="2:10" ht="20.100000000000001" customHeight="1" x14ac:dyDescent="0.25">
      <c r="B405" s="4">
        <v>44982</v>
      </c>
      <c r="C405" s="8" t="str">
        <f>"Ord-02-23-"&amp;TEXT(ROW(C127),"000")</f>
        <v>Ord-02-23-127</v>
      </c>
      <c r="D405" s="6" t="s">
        <v>18</v>
      </c>
      <c r="E405" s="10" t="s">
        <v>31</v>
      </c>
      <c r="F405" s="10" t="s">
        <v>45</v>
      </c>
      <c r="G405" s="10" t="s">
        <v>63</v>
      </c>
      <c r="H405" s="10">
        <v>1800</v>
      </c>
      <c r="I405" s="6">
        <v>3</v>
      </c>
      <c r="J405" s="6">
        <f>H405*I405</f>
        <v>5400</v>
      </c>
    </row>
    <row r="406" spans="2:10" ht="20.100000000000001" customHeight="1" x14ac:dyDescent="0.25">
      <c r="B406" s="4">
        <v>44982</v>
      </c>
      <c r="C406" s="8" t="str">
        <f>"Ord-02-23-"&amp;TEXT(ROW(C128),"000")</f>
        <v>Ord-02-23-128</v>
      </c>
      <c r="D406" s="6" t="s">
        <v>26</v>
      </c>
      <c r="E406" s="10" t="s">
        <v>29</v>
      </c>
      <c r="F406" s="10" t="s">
        <v>40</v>
      </c>
      <c r="G406" s="10" t="s">
        <v>57</v>
      </c>
      <c r="H406" s="10">
        <v>4000</v>
      </c>
      <c r="I406" s="6">
        <v>3</v>
      </c>
      <c r="J406" s="6">
        <f>H406*I406</f>
        <v>12000</v>
      </c>
    </row>
    <row r="407" spans="2:10" ht="20.100000000000001" customHeight="1" x14ac:dyDescent="0.25">
      <c r="B407" s="4">
        <v>44982</v>
      </c>
      <c r="C407" s="8" t="str">
        <f>"Ord-02-23-"&amp;TEXT(ROW(C129),"000")</f>
        <v>Ord-02-23-129</v>
      </c>
      <c r="D407" s="6" t="s">
        <v>21</v>
      </c>
      <c r="E407" s="10" t="s">
        <v>27</v>
      </c>
      <c r="F407" s="10" t="s">
        <v>41</v>
      </c>
      <c r="G407" s="10" t="s">
        <v>53</v>
      </c>
      <c r="H407" s="10">
        <v>3000</v>
      </c>
      <c r="I407" s="6">
        <v>2</v>
      </c>
      <c r="J407" s="6">
        <f>H407*I407</f>
        <v>6000</v>
      </c>
    </row>
    <row r="408" spans="2:10" ht="20.100000000000001" customHeight="1" x14ac:dyDescent="0.25">
      <c r="B408" s="4">
        <v>44982</v>
      </c>
      <c r="C408" s="8" t="str">
        <f>"Ord-02-23-"&amp;TEXT(ROW(C130),"000")</f>
        <v>Ord-02-23-130</v>
      </c>
      <c r="D408" s="6" t="s">
        <v>12</v>
      </c>
      <c r="E408" s="10" t="s">
        <v>34</v>
      </c>
      <c r="F408" s="10" t="s">
        <v>49</v>
      </c>
      <c r="G408" s="10" t="s">
        <v>68</v>
      </c>
      <c r="H408" s="10">
        <v>4000</v>
      </c>
      <c r="I408" s="6">
        <v>3</v>
      </c>
      <c r="J408" s="6">
        <f>H408*I408</f>
        <v>12000</v>
      </c>
    </row>
    <row r="409" spans="2:10" ht="20.100000000000001" customHeight="1" x14ac:dyDescent="0.25">
      <c r="B409" s="4">
        <v>44983</v>
      </c>
      <c r="C409" s="8" t="str">
        <f>"Ord-02-23-"&amp;TEXT(ROW(C131),"000")</f>
        <v>Ord-02-23-131</v>
      </c>
      <c r="D409" s="6" t="s">
        <v>20</v>
      </c>
      <c r="E409" s="10" t="s">
        <v>35</v>
      </c>
      <c r="F409" s="12" t="s">
        <v>90</v>
      </c>
      <c r="G409" s="10" t="s">
        <v>79</v>
      </c>
      <c r="H409" s="10">
        <v>4800</v>
      </c>
      <c r="I409" s="6">
        <v>2</v>
      </c>
      <c r="J409" s="6">
        <f>H409*I409</f>
        <v>9600</v>
      </c>
    </row>
    <row r="410" spans="2:10" ht="20.100000000000001" customHeight="1" x14ac:dyDescent="0.25">
      <c r="B410" s="4">
        <v>44983</v>
      </c>
      <c r="C410" s="8" t="str">
        <f>"Ord-02-23-"&amp;TEXT(ROW(C132),"000")</f>
        <v>Ord-02-23-132</v>
      </c>
      <c r="D410" s="6" t="s">
        <v>19</v>
      </c>
      <c r="E410" s="10" t="s">
        <v>32</v>
      </c>
      <c r="F410" s="10" t="s">
        <v>44</v>
      </c>
      <c r="G410" s="10" t="s">
        <v>74</v>
      </c>
      <c r="H410" s="10">
        <v>1800</v>
      </c>
      <c r="I410" s="6">
        <v>4</v>
      </c>
      <c r="J410" s="6">
        <f>H410*I410</f>
        <v>7200</v>
      </c>
    </row>
    <row r="411" spans="2:10" ht="20.100000000000001" customHeight="1" x14ac:dyDescent="0.25">
      <c r="B411" s="4">
        <v>44983</v>
      </c>
      <c r="C411" s="8" t="str">
        <f>"Ord-02-23-"&amp;TEXT(ROW(C133),"000")</f>
        <v>Ord-02-23-133</v>
      </c>
      <c r="D411" s="6" t="s">
        <v>7</v>
      </c>
      <c r="E411" s="10" t="s">
        <v>31</v>
      </c>
      <c r="F411" s="10" t="s">
        <v>43</v>
      </c>
      <c r="G411" s="10" t="s">
        <v>61</v>
      </c>
      <c r="H411" s="10">
        <v>18000</v>
      </c>
      <c r="I411" s="6">
        <v>1</v>
      </c>
      <c r="J411" s="6">
        <f>H411*I411</f>
        <v>18000</v>
      </c>
    </row>
    <row r="412" spans="2:10" ht="20.100000000000001" customHeight="1" x14ac:dyDescent="0.25">
      <c r="B412" s="4">
        <v>44983</v>
      </c>
      <c r="C412" s="8" t="str">
        <f>"Ord-02-23-"&amp;TEXT(ROW(C134),"000")</f>
        <v>Ord-02-23-134</v>
      </c>
      <c r="D412" s="6" t="s">
        <v>18</v>
      </c>
      <c r="E412" s="10" t="s">
        <v>30</v>
      </c>
      <c r="F412" s="10" t="s">
        <v>90</v>
      </c>
      <c r="G412" s="10" t="s">
        <v>86</v>
      </c>
      <c r="H412" s="10">
        <v>7500</v>
      </c>
      <c r="I412" s="6">
        <v>1</v>
      </c>
      <c r="J412" s="6">
        <f>H412*I412</f>
        <v>7500</v>
      </c>
    </row>
    <row r="413" spans="2:10" ht="20.100000000000001" customHeight="1" x14ac:dyDescent="0.25">
      <c r="B413" s="4">
        <v>44983</v>
      </c>
      <c r="C413" s="8" t="str">
        <f>"Ord-02-23-"&amp;TEXT(ROW(C135),"000")</f>
        <v>Ord-02-23-135</v>
      </c>
      <c r="D413" s="6" t="s">
        <v>16</v>
      </c>
      <c r="E413" s="10" t="s">
        <v>34</v>
      </c>
      <c r="F413" s="10" t="s">
        <v>49</v>
      </c>
      <c r="G413" s="10" t="s">
        <v>75</v>
      </c>
      <c r="H413" s="10">
        <v>4300</v>
      </c>
      <c r="I413" s="6">
        <v>3</v>
      </c>
      <c r="J413" s="6">
        <f>H413*I413</f>
        <v>12900</v>
      </c>
    </row>
    <row r="414" spans="2:10" ht="20.100000000000001" customHeight="1" x14ac:dyDescent="0.25">
      <c r="B414" s="4">
        <v>44984</v>
      </c>
      <c r="C414" s="8" t="str">
        <f>"Ord-02-23-"&amp;TEXT(ROW(C136),"000")</f>
        <v>Ord-02-23-136</v>
      </c>
      <c r="D414" s="6" t="s">
        <v>9</v>
      </c>
      <c r="E414" s="10" t="s">
        <v>28</v>
      </c>
      <c r="F414" s="10" t="s">
        <v>28</v>
      </c>
      <c r="G414" s="10" t="s">
        <v>77</v>
      </c>
      <c r="H414" s="10">
        <v>1200</v>
      </c>
      <c r="I414" s="6">
        <v>2</v>
      </c>
      <c r="J414" s="6">
        <f>H414*I414</f>
        <v>2400</v>
      </c>
    </row>
    <row r="415" spans="2:10" ht="20.100000000000001" customHeight="1" x14ac:dyDescent="0.25">
      <c r="B415" s="4">
        <v>44984</v>
      </c>
      <c r="C415" s="8" t="str">
        <f>"Ord-02-23-"&amp;TEXT(ROW(C137),"000")</f>
        <v>Ord-02-23-137</v>
      </c>
      <c r="D415" s="6" t="s">
        <v>14</v>
      </c>
      <c r="E415" s="10" t="s">
        <v>31</v>
      </c>
      <c r="F415" s="10" t="s">
        <v>45</v>
      </c>
      <c r="G415" s="10" t="s">
        <v>66</v>
      </c>
      <c r="H415" s="10">
        <v>2300</v>
      </c>
      <c r="I415" s="6">
        <v>1</v>
      </c>
      <c r="J415" s="6">
        <f>H415*I415</f>
        <v>2300</v>
      </c>
    </row>
    <row r="416" spans="2:10" ht="20.100000000000001" customHeight="1" x14ac:dyDescent="0.25">
      <c r="B416" s="4">
        <v>44984</v>
      </c>
      <c r="C416" s="8" t="str">
        <f>"Ord-02-23-"&amp;TEXT(ROW(C138),"000")</f>
        <v>Ord-02-23-138</v>
      </c>
      <c r="D416" s="6" t="s">
        <v>13</v>
      </c>
      <c r="E416" s="10" t="s">
        <v>30</v>
      </c>
      <c r="F416" s="10" t="s">
        <v>90</v>
      </c>
      <c r="G416" s="10" t="s">
        <v>86</v>
      </c>
      <c r="H416" s="10">
        <v>7500</v>
      </c>
      <c r="I416" s="6">
        <v>2</v>
      </c>
      <c r="J416" s="6">
        <f>H416*I416</f>
        <v>15000</v>
      </c>
    </row>
    <row r="417" spans="2:10" ht="20.100000000000001" customHeight="1" x14ac:dyDescent="0.25">
      <c r="B417" s="4">
        <v>44984</v>
      </c>
      <c r="C417" s="8" t="str">
        <f>"Ord-02-23-"&amp;TEXT(ROW(C139),"000")</f>
        <v>Ord-02-23-139</v>
      </c>
      <c r="D417" s="6" t="s">
        <v>9</v>
      </c>
      <c r="E417" s="10" t="s">
        <v>27</v>
      </c>
      <c r="F417" s="10" t="s">
        <v>38</v>
      </c>
      <c r="G417" s="10" t="s">
        <v>54</v>
      </c>
      <c r="H417" s="10">
        <v>5200</v>
      </c>
      <c r="I417" s="6">
        <v>4</v>
      </c>
      <c r="J417" s="6">
        <f>H417*I417</f>
        <v>20800</v>
      </c>
    </row>
    <row r="418" spans="2:10" ht="20.100000000000001" customHeight="1" x14ac:dyDescent="0.25">
      <c r="B418" s="4">
        <v>44984</v>
      </c>
      <c r="C418" s="8" t="str">
        <f>"Ord-02-23-"&amp;TEXT(ROW(C140),"000")</f>
        <v>Ord-02-23-140</v>
      </c>
      <c r="D418" s="6" t="s">
        <v>21</v>
      </c>
      <c r="E418" s="10" t="s">
        <v>34</v>
      </c>
      <c r="F418" s="10" t="s">
        <v>49</v>
      </c>
      <c r="G418" s="10" t="s">
        <v>75</v>
      </c>
      <c r="H418" s="10">
        <v>4300</v>
      </c>
      <c r="I418" s="6">
        <v>4</v>
      </c>
      <c r="J418" s="6">
        <f>H418*I418</f>
        <v>17200</v>
      </c>
    </row>
    <row r="419" spans="2:10" ht="20.100000000000001" customHeight="1" x14ac:dyDescent="0.25">
      <c r="B419" s="4">
        <v>44985</v>
      </c>
      <c r="C419" s="8" t="str">
        <f>"Ord-02-23-"&amp;TEXT(ROW(C141),"000")</f>
        <v>Ord-02-23-141</v>
      </c>
      <c r="D419" s="6" t="s">
        <v>12</v>
      </c>
      <c r="E419" s="10" t="s">
        <v>31</v>
      </c>
      <c r="F419" s="10" t="s">
        <v>43</v>
      </c>
      <c r="G419" s="10" t="s">
        <v>61</v>
      </c>
      <c r="H419" s="10">
        <v>18000</v>
      </c>
      <c r="I419" s="6">
        <v>2</v>
      </c>
      <c r="J419" s="6">
        <f>H419*I419</f>
        <v>36000</v>
      </c>
    </row>
    <row r="420" spans="2:10" ht="20.100000000000001" customHeight="1" x14ac:dyDescent="0.25">
      <c r="B420" s="4">
        <v>44985</v>
      </c>
      <c r="C420" s="8" t="str">
        <f>"Ord-02-23-"&amp;TEXT(ROW(C142),"000")</f>
        <v>Ord-02-23-142</v>
      </c>
      <c r="D420" s="6" t="s">
        <v>25</v>
      </c>
      <c r="E420" s="10" t="s">
        <v>29</v>
      </c>
      <c r="F420" s="10" t="s">
        <v>40</v>
      </c>
      <c r="G420" s="10" t="s">
        <v>57</v>
      </c>
      <c r="H420" s="10">
        <v>4000</v>
      </c>
      <c r="I420" s="6">
        <v>3</v>
      </c>
      <c r="J420" s="6">
        <f>H420*I420</f>
        <v>12000</v>
      </c>
    </row>
    <row r="421" spans="2:10" ht="20.100000000000001" customHeight="1" x14ac:dyDescent="0.25">
      <c r="B421" s="4">
        <v>44985</v>
      </c>
      <c r="C421" s="8" t="str">
        <f>"Ord-02-23-"&amp;TEXT(ROW(C143),"000")</f>
        <v>Ord-02-23-143</v>
      </c>
      <c r="D421" s="6" t="s">
        <v>13</v>
      </c>
      <c r="E421" s="10" t="s">
        <v>29</v>
      </c>
      <c r="F421" s="10" t="s">
        <v>39</v>
      </c>
      <c r="G421" s="10" t="s">
        <v>56</v>
      </c>
      <c r="H421" s="10">
        <v>2500</v>
      </c>
      <c r="I421" s="6">
        <v>5</v>
      </c>
      <c r="J421" s="6">
        <f>H421*I421</f>
        <v>12500</v>
      </c>
    </row>
    <row r="422" spans="2:10" ht="20.100000000000001" customHeight="1" x14ac:dyDescent="0.25">
      <c r="B422" s="4">
        <v>44985</v>
      </c>
      <c r="C422" s="8" t="str">
        <f>"Ord-02-23-"&amp;TEXT(ROW(C144),"000")</f>
        <v>Ord-02-23-144</v>
      </c>
      <c r="D422" s="6" t="s">
        <v>24</v>
      </c>
      <c r="E422" s="10" t="s">
        <v>30</v>
      </c>
      <c r="F422" s="10" t="s">
        <v>90</v>
      </c>
      <c r="G422" s="10" t="s">
        <v>86</v>
      </c>
      <c r="H422" s="10">
        <v>7500</v>
      </c>
      <c r="I422" s="6">
        <v>3</v>
      </c>
      <c r="J422" s="6">
        <f>H422*I422</f>
        <v>22500</v>
      </c>
    </row>
    <row r="423" spans="2:10" ht="20.100000000000001" customHeight="1" x14ac:dyDescent="0.25">
      <c r="B423" s="4">
        <v>44985</v>
      </c>
      <c r="C423" s="8" t="str">
        <f>"Ord-02-23-"&amp;TEXT(ROW(C145),"000")</f>
        <v>Ord-02-23-145</v>
      </c>
      <c r="D423" s="6" t="s">
        <v>10</v>
      </c>
      <c r="E423" s="10" t="s">
        <v>27</v>
      </c>
      <c r="F423" s="10" t="s">
        <v>38</v>
      </c>
      <c r="G423" s="10" t="s">
        <v>54</v>
      </c>
      <c r="H423" s="10">
        <v>5200</v>
      </c>
      <c r="I423" s="6">
        <v>4</v>
      </c>
      <c r="J423" s="6">
        <f>H423*I423</f>
        <v>20800</v>
      </c>
    </row>
    <row r="424" spans="2:10" ht="20.100000000000001" customHeight="1" x14ac:dyDescent="0.25">
      <c r="B424" s="4">
        <v>44986</v>
      </c>
      <c r="C424" s="8" t="str">
        <f>"Ord-03-23-"&amp;TEXT(ROW(C1),"000")</f>
        <v>Ord-03-23-001</v>
      </c>
      <c r="D424" s="6" t="s">
        <v>22</v>
      </c>
      <c r="E424" s="10" t="s">
        <v>32</v>
      </c>
      <c r="F424" s="10" t="s">
        <v>44</v>
      </c>
      <c r="G424" s="10" t="s">
        <v>74</v>
      </c>
      <c r="H424" s="10">
        <v>1800</v>
      </c>
      <c r="I424" s="6">
        <v>1</v>
      </c>
      <c r="J424" s="6">
        <f>H424*I424</f>
        <v>1800</v>
      </c>
    </row>
    <row r="425" spans="2:10" ht="20.100000000000001" customHeight="1" x14ac:dyDescent="0.25">
      <c r="B425" s="4">
        <v>44986</v>
      </c>
      <c r="C425" s="8" t="str">
        <f>"Ord-03-23-"&amp;TEXT(ROW(C2),"000")</f>
        <v>Ord-03-23-002</v>
      </c>
      <c r="D425" s="6" t="s">
        <v>26</v>
      </c>
      <c r="E425" s="10" t="s">
        <v>29</v>
      </c>
      <c r="F425" s="10" t="s">
        <v>39</v>
      </c>
      <c r="G425" s="10" t="s">
        <v>60</v>
      </c>
      <c r="H425" s="10">
        <v>1500</v>
      </c>
      <c r="I425" s="6">
        <v>4</v>
      </c>
      <c r="J425" s="6">
        <f>H425*I425</f>
        <v>6000</v>
      </c>
    </row>
    <row r="426" spans="2:10" ht="20.100000000000001" customHeight="1" x14ac:dyDescent="0.25">
      <c r="B426" s="4">
        <v>44986</v>
      </c>
      <c r="C426" s="8" t="str">
        <f>"Ord-03-23-"&amp;TEXT(ROW(C3),"000")</f>
        <v>Ord-03-23-003</v>
      </c>
      <c r="D426" s="6" t="s">
        <v>18</v>
      </c>
      <c r="E426" s="10" t="s">
        <v>30</v>
      </c>
      <c r="F426" s="10" t="s">
        <v>90</v>
      </c>
      <c r="G426" s="10" t="s">
        <v>59</v>
      </c>
      <c r="H426" s="10">
        <v>4800</v>
      </c>
      <c r="I426" s="6">
        <v>1</v>
      </c>
      <c r="J426" s="6">
        <f>H426*I426</f>
        <v>4800</v>
      </c>
    </row>
    <row r="427" spans="2:10" ht="20.100000000000001" customHeight="1" x14ac:dyDescent="0.25">
      <c r="B427" s="4">
        <v>44986</v>
      </c>
      <c r="C427" s="8" t="str">
        <f>"Ord-03-23-"&amp;TEXT(ROW(C4),"000")</f>
        <v>Ord-03-23-004</v>
      </c>
      <c r="D427" s="6" t="s">
        <v>20</v>
      </c>
      <c r="E427" s="10" t="s">
        <v>27</v>
      </c>
      <c r="F427" s="10" t="s">
        <v>37</v>
      </c>
      <c r="G427" s="10" t="s">
        <v>54</v>
      </c>
      <c r="H427" s="10">
        <v>5000</v>
      </c>
      <c r="I427" s="6">
        <v>1</v>
      </c>
      <c r="J427" s="6">
        <f>H427*I427</f>
        <v>5000</v>
      </c>
    </row>
    <row r="428" spans="2:10" ht="20.100000000000001" customHeight="1" x14ac:dyDescent="0.25">
      <c r="B428" s="4">
        <v>44986</v>
      </c>
      <c r="C428" s="8" t="str">
        <f>"Ord-03-23-"&amp;TEXT(ROW(C5),"000")</f>
        <v>Ord-03-23-005</v>
      </c>
      <c r="D428" s="6" t="s">
        <v>9</v>
      </c>
      <c r="E428" s="10" t="s">
        <v>27</v>
      </c>
      <c r="F428" s="10" t="s">
        <v>37</v>
      </c>
      <c r="G428" s="10" t="s">
        <v>64</v>
      </c>
      <c r="H428" s="10">
        <v>4500</v>
      </c>
      <c r="I428" s="6">
        <v>1</v>
      </c>
      <c r="J428" s="6">
        <f>H428*I428</f>
        <v>4500</v>
      </c>
    </row>
    <row r="429" spans="2:10" ht="20.100000000000001" customHeight="1" x14ac:dyDescent="0.25">
      <c r="B429" s="4">
        <v>44987</v>
      </c>
      <c r="C429" s="8" t="str">
        <f>"Ord-03-23-"&amp;TEXT(ROW(C6),"000")</f>
        <v>Ord-03-23-006</v>
      </c>
      <c r="D429" s="6" t="s">
        <v>20</v>
      </c>
      <c r="E429" s="10" t="s">
        <v>32</v>
      </c>
      <c r="F429" s="10" t="s">
        <v>44</v>
      </c>
      <c r="G429" s="10" t="s">
        <v>72</v>
      </c>
      <c r="H429" s="10">
        <v>2200</v>
      </c>
      <c r="I429" s="6">
        <v>5</v>
      </c>
      <c r="J429" s="6">
        <f>H429*I429</f>
        <v>11000</v>
      </c>
    </row>
    <row r="430" spans="2:10" ht="20.100000000000001" customHeight="1" x14ac:dyDescent="0.25">
      <c r="B430" s="4">
        <v>44987</v>
      </c>
      <c r="C430" s="8" t="str">
        <f>"Ord-03-23-"&amp;TEXT(ROW(C7),"000")</f>
        <v>Ord-03-23-007</v>
      </c>
      <c r="D430" s="6" t="s">
        <v>11</v>
      </c>
      <c r="E430" s="10" t="s">
        <v>33</v>
      </c>
      <c r="F430" s="10" t="s">
        <v>46</v>
      </c>
      <c r="G430" s="10" t="s">
        <v>65</v>
      </c>
      <c r="H430" s="10">
        <v>15</v>
      </c>
      <c r="I430" s="6">
        <v>700</v>
      </c>
      <c r="J430" s="6">
        <f>H430*I430</f>
        <v>10500</v>
      </c>
    </row>
    <row r="431" spans="2:10" ht="20.100000000000001" customHeight="1" x14ac:dyDescent="0.25">
      <c r="B431" s="4">
        <v>44987</v>
      </c>
      <c r="C431" s="8" t="str">
        <f>"Ord-03-23-"&amp;TEXT(ROW(C8),"000")</f>
        <v>Ord-03-23-008</v>
      </c>
      <c r="D431" s="6" t="s">
        <v>10</v>
      </c>
      <c r="E431" s="10" t="s">
        <v>31</v>
      </c>
      <c r="F431" s="10" t="s">
        <v>52</v>
      </c>
      <c r="G431" s="10" t="s">
        <v>73</v>
      </c>
      <c r="H431" s="10">
        <v>2500</v>
      </c>
      <c r="I431" s="6">
        <v>2</v>
      </c>
      <c r="J431" s="6">
        <f>H431*I431</f>
        <v>5000</v>
      </c>
    </row>
    <row r="432" spans="2:10" ht="20.100000000000001" customHeight="1" x14ac:dyDescent="0.25">
      <c r="B432" s="4">
        <v>44987</v>
      </c>
      <c r="C432" s="8" t="str">
        <f>"Ord-03-23-"&amp;TEXT(ROW(C9),"000")</f>
        <v>Ord-03-23-009</v>
      </c>
      <c r="D432" s="6" t="s">
        <v>18</v>
      </c>
      <c r="E432" s="10" t="s">
        <v>27</v>
      </c>
      <c r="F432" s="10" t="s">
        <v>50</v>
      </c>
      <c r="G432" s="10" t="s">
        <v>54</v>
      </c>
      <c r="H432" s="10">
        <v>3200</v>
      </c>
      <c r="I432" s="6">
        <v>2</v>
      </c>
      <c r="J432" s="6">
        <f>H432*I432</f>
        <v>6400</v>
      </c>
    </row>
    <row r="433" spans="2:10" ht="20.100000000000001" customHeight="1" x14ac:dyDescent="0.25">
      <c r="B433" s="4">
        <v>44987</v>
      </c>
      <c r="C433" s="8" t="str">
        <f>"Ord-03-23-"&amp;TEXT(ROW(C10),"000")</f>
        <v>Ord-03-23-010</v>
      </c>
      <c r="D433" s="6" t="s">
        <v>22</v>
      </c>
      <c r="E433" s="10" t="s">
        <v>34</v>
      </c>
      <c r="F433" s="10" t="s">
        <v>49</v>
      </c>
      <c r="G433" s="10" t="s">
        <v>75</v>
      </c>
      <c r="H433" s="10">
        <v>4300</v>
      </c>
      <c r="I433" s="6">
        <v>3</v>
      </c>
      <c r="J433" s="6">
        <f>H433*I433</f>
        <v>12900</v>
      </c>
    </row>
    <row r="434" spans="2:10" ht="20.100000000000001" customHeight="1" x14ac:dyDescent="0.25">
      <c r="B434" s="4">
        <v>44988</v>
      </c>
      <c r="C434" s="8" t="str">
        <f>"Ord-03-23-"&amp;TEXT(ROW(C11),"000")</f>
        <v>Ord-03-23-011</v>
      </c>
      <c r="D434" s="6" t="s">
        <v>10</v>
      </c>
      <c r="E434" s="10" t="s">
        <v>32</v>
      </c>
      <c r="F434" s="10" t="s">
        <v>51</v>
      </c>
      <c r="G434" s="10" t="s">
        <v>81</v>
      </c>
      <c r="H434" s="10">
        <v>3000</v>
      </c>
      <c r="I434" s="6">
        <v>2</v>
      </c>
      <c r="J434" s="6">
        <f>H434*I434</f>
        <v>6000</v>
      </c>
    </row>
    <row r="435" spans="2:10" ht="20.100000000000001" customHeight="1" x14ac:dyDescent="0.25">
      <c r="B435" s="4">
        <v>44988</v>
      </c>
      <c r="C435" s="8" t="str">
        <f>"Ord-03-23-"&amp;TEXT(ROW(C12),"000")</f>
        <v>Ord-03-23-012</v>
      </c>
      <c r="D435" s="6" t="s">
        <v>12</v>
      </c>
      <c r="E435" s="10" t="s">
        <v>30</v>
      </c>
      <c r="F435" s="10" t="s">
        <v>90</v>
      </c>
      <c r="G435" s="10" t="s">
        <v>86</v>
      </c>
      <c r="H435" s="10">
        <v>7500</v>
      </c>
      <c r="I435" s="6">
        <v>5</v>
      </c>
      <c r="J435" s="6">
        <f>H435*I435</f>
        <v>37500</v>
      </c>
    </row>
    <row r="436" spans="2:10" ht="20.100000000000001" customHeight="1" x14ac:dyDescent="0.25">
      <c r="B436" s="4">
        <v>44988</v>
      </c>
      <c r="C436" s="8" t="str">
        <f>"Ord-03-23-"&amp;TEXT(ROW(C13),"000")</f>
        <v>Ord-03-23-013</v>
      </c>
      <c r="D436" s="6" t="s">
        <v>17</v>
      </c>
      <c r="E436" s="10" t="s">
        <v>27</v>
      </c>
      <c r="F436" s="10" t="s">
        <v>50</v>
      </c>
      <c r="G436" s="10" t="s">
        <v>53</v>
      </c>
      <c r="H436" s="10">
        <v>3500</v>
      </c>
      <c r="I436" s="6">
        <v>3</v>
      </c>
      <c r="J436" s="6">
        <f>H436*I436</f>
        <v>10500</v>
      </c>
    </row>
    <row r="437" spans="2:10" ht="20.100000000000001" customHeight="1" x14ac:dyDescent="0.25">
      <c r="B437" s="4">
        <v>44988</v>
      </c>
      <c r="C437" s="8" t="str">
        <f>"Ord-03-23-"&amp;TEXT(ROW(C14),"000")</f>
        <v>Ord-03-23-014</v>
      </c>
      <c r="D437" s="6" t="s">
        <v>14</v>
      </c>
      <c r="E437" s="10" t="s">
        <v>27</v>
      </c>
      <c r="F437" s="10" t="s">
        <v>50</v>
      </c>
      <c r="G437" s="10" t="s">
        <v>54</v>
      </c>
      <c r="H437" s="10">
        <v>3200</v>
      </c>
      <c r="I437" s="6">
        <v>4</v>
      </c>
      <c r="J437" s="6">
        <f>H437*I437</f>
        <v>12800</v>
      </c>
    </row>
    <row r="438" spans="2:10" ht="20.100000000000001" customHeight="1" x14ac:dyDescent="0.25">
      <c r="B438" s="4">
        <v>44988</v>
      </c>
      <c r="C438" s="8" t="str">
        <f>"Ord-03-23-"&amp;TEXT(ROW(C15),"000")</f>
        <v>Ord-03-23-015</v>
      </c>
      <c r="D438" s="6" t="s">
        <v>19</v>
      </c>
      <c r="E438" s="10" t="s">
        <v>27</v>
      </c>
      <c r="F438" s="10" t="s">
        <v>37</v>
      </c>
      <c r="G438" s="10" t="s">
        <v>64</v>
      </c>
      <c r="H438" s="10">
        <v>4500</v>
      </c>
      <c r="I438" s="6">
        <v>5</v>
      </c>
      <c r="J438" s="6">
        <f>H438*I438</f>
        <v>22500</v>
      </c>
    </row>
    <row r="439" spans="2:10" ht="20.100000000000001" customHeight="1" x14ac:dyDescent="0.25">
      <c r="B439" s="4">
        <v>44989</v>
      </c>
      <c r="C439" s="8" t="str">
        <f>"Ord-03-23-"&amp;TEXT(ROW(C16),"000")</f>
        <v>Ord-03-23-016</v>
      </c>
      <c r="D439" s="6" t="s">
        <v>18</v>
      </c>
      <c r="E439" s="10" t="s">
        <v>32</v>
      </c>
      <c r="F439" s="10" t="s">
        <v>44</v>
      </c>
      <c r="G439" s="10" t="s">
        <v>72</v>
      </c>
      <c r="H439" s="10">
        <v>2200</v>
      </c>
      <c r="I439" s="6">
        <v>4</v>
      </c>
      <c r="J439" s="6">
        <f>H439*I439</f>
        <v>8800</v>
      </c>
    </row>
    <row r="440" spans="2:10" ht="20.100000000000001" customHeight="1" x14ac:dyDescent="0.25">
      <c r="B440" s="4">
        <v>44989</v>
      </c>
      <c r="C440" s="8" t="str">
        <f>"Ord-03-23-"&amp;TEXT(ROW(C17),"000")</f>
        <v>Ord-03-23-017</v>
      </c>
      <c r="D440" s="6" t="s">
        <v>18</v>
      </c>
      <c r="E440" s="10" t="s">
        <v>32</v>
      </c>
      <c r="F440" s="10" t="s">
        <v>44</v>
      </c>
      <c r="G440" s="10" t="s">
        <v>72</v>
      </c>
      <c r="H440" s="10">
        <v>2200</v>
      </c>
      <c r="I440" s="6">
        <v>2</v>
      </c>
      <c r="J440" s="6">
        <f>H440*I440</f>
        <v>4400</v>
      </c>
    </row>
    <row r="441" spans="2:10" ht="20.100000000000001" customHeight="1" x14ac:dyDescent="0.25">
      <c r="B441" s="4">
        <v>44989</v>
      </c>
      <c r="C441" s="8" t="str">
        <f>"Ord-03-23-"&amp;TEXT(ROW(C18),"000")</f>
        <v>Ord-03-23-018</v>
      </c>
      <c r="D441" s="6" t="s">
        <v>11</v>
      </c>
      <c r="E441" s="10" t="s">
        <v>31</v>
      </c>
      <c r="F441" s="10" t="s">
        <v>52</v>
      </c>
      <c r="G441" s="10" t="s">
        <v>69</v>
      </c>
      <c r="H441" s="10">
        <v>3500</v>
      </c>
      <c r="I441" s="6">
        <v>5</v>
      </c>
      <c r="J441" s="6">
        <f>H441*I441</f>
        <v>17500</v>
      </c>
    </row>
    <row r="442" spans="2:10" ht="20.100000000000001" customHeight="1" x14ac:dyDescent="0.25">
      <c r="B442" s="4">
        <v>44989</v>
      </c>
      <c r="C442" s="8" t="str">
        <f>"Ord-03-23-"&amp;TEXT(ROW(C19),"000")</f>
        <v>Ord-03-23-019</v>
      </c>
      <c r="D442" s="6" t="s">
        <v>18</v>
      </c>
      <c r="E442" s="10" t="s">
        <v>27</v>
      </c>
      <c r="F442" s="10" t="s">
        <v>37</v>
      </c>
      <c r="G442" s="10" t="s">
        <v>53</v>
      </c>
      <c r="H442" s="10">
        <v>5200</v>
      </c>
      <c r="I442" s="6">
        <v>3</v>
      </c>
      <c r="J442" s="6">
        <f>H442*I442</f>
        <v>15600</v>
      </c>
    </row>
    <row r="443" spans="2:10" ht="20.100000000000001" customHeight="1" x14ac:dyDescent="0.25">
      <c r="B443" s="4">
        <v>44989</v>
      </c>
      <c r="C443" s="8" t="str">
        <f>"Ord-03-23-"&amp;TEXT(ROW(C20),"000")</f>
        <v>Ord-03-23-020</v>
      </c>
      <c r="D443" s="6" t="s">
        <v>11</v>
      </c>
      <c r="E443" s="10" t="s">
        <v>34</v>
      </c>
      <c r="F443" s="10" t="s">
        <v>49</v>
      </c>
      <c r="G443" s="10" t="s">
        <v>68</v>
      </c>
      <c r="H443" s="10">
        <v>4000</v>
      </c>
      <c r="I443" s="6">
        <v>3</v>
      </c>
      <c r="J443" s="6">
        <f>H443*I443</f>
        <v>12000</v>
      </c>
    </row>
    <row r="444" spans="2:10" ht="20.100000000000001" customHeight="1" x14ac:dyDescent="0.25">
      <c r="B444" s="4">
        <v>44990</v>
      </c>
      <c r="C444" s="8" t="str">
        <f>"Ord-03-23-"&amp;TEXT(ROW(C21),"000")</f>
        <v>Ord-03-23-021</v>
      </c>
      <c r="D444" s="6" t="s">
        <v>15</v>
      </c>
      <c r="E444" s="10" t="s">
        <v>32</v>
      </c>
      <c r="F444" s="10" t="s">
        <v>44</v>
      </c>
      <c r="G444" s="10" t="s">
        <v>72</v>
      </c>
      <c r="H444" s="10">
        <v>2200</v>
      </c>
      <c r="I444" s="6">
        <v>5</v>
      </c>
      <c r="J444" s="6">
        <f>H444*I444</f>
        <v>11000</v>
      </c>
    </row>
    <row r="445" spans="2:10" ht="20.100000000000001" customHeight="1" x14ac:dyDescent="0.25">
      <c r="B445" s="4">
        <v>44990</v>
      </c>
      <c r="C445" s="8" t="str">
        <f>"Ord-03-23-"&amp;TEXT(ROW(C22),"000")</f>
        <v>Ord-03-23-022</v>
      </c>
      <c r="D445" s="6" t="s">
        <v>7</v>
      </c>
      <c r="E445" s="10" t="s">
        <v>31</v>
      </c>
      <c r="F445" s="10" t="s">
        <v>43</v>
      </c>
      <c r="G445" s="10" t="s">
        <v>67</v>
      </c>
      <c r="H445" s="10">
        <v>14500</v>
      </c>
      <c r="I445" s="6">
        <v>2</v>
      </c>
      <c r="J445" s="6">
        <f>H445*I445</f>
        <v>29000</v>
      </c>
    </row>
    <row r="446" spans="2:10" ht="20.100000000000001" customHeight="1" x14ac:dyDescent="0.25">
      <c r="B446" s="4">
        <v>44990</v>
      </c>
      <c r="C446" s="8" t="str">
        <f>"Ord-03-23-"&amp;TEXT(ROW(C23),"000")</f>
        <v>Ord-03-23-023</v>
      </c>
      <c r="D446" s="6" t="s">
        <v>9</v>
      </c>
      <c r="E446" s="10" t="s">
        <v>31</v>
      </c>
      <c r="F446" s="10" t="s">
        <v>52</v>
      </c>
      <c r="G446" s="10" t="s">
        <v>66</v>
      </c>
      <c r="H446" s="10">
        <v>3200</v>
      </c>
      <c r="I446" s="6">
        <v>4</v>
      </c>
      <c r="J446" s="6">
        <f>H446*I446</f>
        <v>12800</v>
      </c>
    </row>
    <row r="447" spans="2:10" ht="20.100000000000001" customHeight="1" x14ac:dyDescent="0.25">
      <c r="B447" s="4">
        <v>44990</v>
      </c>
      <c r="C447" s="8" t="str">
        <f>"Ord-03-23-"&amp;TEXT(ROW(C24),"000")</f>
        <v>Ord-03-23-024</v>
      </c>
      <c r="D447" s="6" t="s">
        <v>16</v>
      </c>
      <c r="E447" s="10" t="s">
        <v>31</v>
      </c>
      <c r="F447" s="10" t="s">
        <v>52</v>
      </c>
      <c r="G447" s="10" t="s">
        <v>69</v>
      </c>
      <c r="H447" s="10">
        <v>3500</v>
      </c>
      <c r="I447" s="6">
        <v>2</v>
      </c>
      <c r="J447" s="6">
        <f>H447*I447</f>
        <v>7000</v>
      </c>
    </row>
    <row r="448" spans="2:10" ht="20.100000000000001" customHeight="1" x14ac:dyDescent="0.25">
      <c r="B448" s="4">
        <v>44990</v>
      </c>
      <c r="C448" s="8" t="str">
        <f>"Ord-03-23-"&amp;TEXT(ROW(C25),"000")</f>
        <v>Ord-03-23-025</v>
      </c>
      <c r="D448" s="6" t="s">
        <v>8</v>
      </c>
      <c r="E448" s="10" t="s">
        <v>27</v>
      </c>
      <c r="F448" s="10" t="s">
        <v>41</v>
      </c>
      <c r="G448" s="10" t="s">
        <v>54</v>
      </c>
      <c r="H448" s="10">
        <v>2800</v>
      </c>
      <c r="I448" s="6">
        <v>2</v>
      </c>
      <c r="J448" s="6">
        <f>H448*I448</f>
        <v>5600</v>
      </c>
    </row>
    <row r="449" spans="2:10" ht="20.100000000000001" customHeight="1" x14ac:dyDescent="0.25">
      <c r="B449" s="4">
        <v>44991</v>
      </c>
      <c r="C449" s="8" t="str">
        <f>"Ord-03-23-"&amp;TEXT(ROW(C26),"000")</f>
        <v>Ord-03-23-026</v>
      </c>
      <c r="D449" s="6" t="s">
        <v>11</v>
      </c>
      <c r="E449" s="10" t="s">
        <v>33</v>
      </c>
      <c r="F449" s="10" t="s">
        <v>47</v>
      </c>
      <c r="G449" s="10" t="s">
        <v>65</v>
      </c>
      <c r="H449" s="10">
        <v>25</v>
      </c>
      <c r="I449" s="6">
        <v>350</v>
      </c>
      <c r="J449" s="6">
        <f>H449*I449</f>
        <v>8750</v>
      </c>
    </row>
    <row r="450" spans="2:10" ht="20.100000000000001" customHeight="1" x14ac:dyDescent="0.25">
      <c r="B450" s="4">
        <v>44991</v>
      </c>
      <c r="C450" s="8" t="str">
        <f>"Ord-03-23-"&amp;TEXT(ROW(C27),"000")</f>
        <v>Ord-03-23-027</v>
      </c>
      <c r="D450" s="6" t="s">
        <v>24</v>
      </c>
      <c r="E450" s="10" t="s">
        <v>36</v>
      </c>
      <c r="F450" s="10" t="s">
        <v>36</v>
      </c>
      <c r="G450" s="10" t="s">
        <v>41</v>
      </c>
      <c r="H450" s="10">
        <v>2000</v>
      </c>
      <c r="I450" s="6">
        <v>2</v>
      </c>
      <c r="J450" s="6">
        <f>H450*I450</f>
        <v>4000</v>
      </c>
    </row>
    <row r="451" spans="2:10" ht="20.100000000000001" customHeight="1" x14ac:dyDescent="0.25">
      <c r="B451" s="4">
        <v>44991</v>
      </c>
      <c r="C451" s="8" t="str">
        <f>"Ord-03-23-"&amp;TEXT(ROW(C28),"000")</f>
        <v>Ord-03-23-028</v>
      </c>
      <c r="D451" s="6" t="s">
        <v>18</v>
      </c>
      <c r="E451" s="10" t="s">
        <v>27</v>
      </c>
      <c r="F451" s="10" t="s">
        <v>38</v>
      </c>
      <c r="G451" s="10" t="s">
        <v>54</v>
      </c>
      <c r="H451" s="10">
        <v>5200</v>
      </c>
      <c r="I451" s="6">
        <v>3</v>
      </c>
      <c r="J451" s="6">
        <f>H451*I451</f>
        <v>15600</v>
      </c>
    </row>
    <row r="452" spans="2:10" ht="20.100000000000001" customHeight="1" x14ac:dyDescent="0.25">
      <c r="B452" s="4">
        <v>44991</v>
      </c>
      <c r="C452" s="8" t="str">
        <f>"Ord-03-23-"&amp;TEXT(ROW(C29),"000")</f>
        <v>Ord-03-23-029</v>
      </c>
      <c r="D452" s="6" t="s">
        <v>24</v>
      </c>
      <c r="E452" s="10" t="s">
        <v>27</v>
      </c>
      <c r="F452" s="10" t="s">
        <v>37</v>
      </c>
      <c r="G452" s="10" t="s">
        <v>53</v>
      </c>
      <c r="H452" s="10">
        <v>5200</v>
      </c>
      <c r="I452" s="6">
        <v>5</v>
      </c>
      <c r="J452" s="6">
        <f>H452*I452</f>
        <v>26000</v>
      </c>
    </row>
    <row r="453" spans="2:10" ht="20.100000000000001" customHeight="1" x14ac:dyDescent="0.25">
      <c r="B453" s="4">
        <v>44991</v>
      </c>
      <c r="C453" s="8" t="str">
        <f>"Ord-03-23-"&amp;TEXT(ROW(C30),"000")</f>
        <v>Ord-03-23-030</v>
      </c>
      <c r="D453" s="6" t="s">
        <v>26</v>
      </c>
      <c r="E453" s="10" t="s">
        <v>27</v>
      </c>
      <c r="F453" s="10" t="s">
        <v>37</v>
      </c>
      <c r="G453" s="10" t="s">
        <v>64</v>
      </c>
      <c r="H453" s="10">
        <v>4500</v>
      </c>
      <c r="I453" s="6">
        <v>5</v>
      </c>
      <c r="J453" s="6">
        <f>H453*I453</f>
        <v>22500</v>
      </c>
    </row>
    <row r="454" spans="2:10" ht="20.100000000000001" customHeight="1" x14ac:dyDescent="0.25">
      <c r="B454" s="4">
        <v>44992</v>
      </c>
      <c r="C454" s="8" t="str">
        <f>"Ord-03-23-"&amp;TEXT(ROW(C31),"000")</f>
        <v>Ord-03-23-031</v>
      </c>
      <c r="D454" s="6" t="s">
        <v>7</v>
      </c>
      <c r="E454" s="10" t="s">
        <v>32</v>
      </c>
      <c r="F454" s="10" t="s">
        <v>44</v>
      </c>
      <c r="G454" s="10" t="s">
        <v>87</v>
      </c>
      <c r="H454" s="10">
        <v>1500</v>
      </c>
      <c r="I454" s="6">
        <v>1</v>
      </c>
      <c r="J454" s="6">
        <f>H454*I454</f>
        <v>1500</v>
      </c>
    </row>
    <row r="455" spans="2:10" ht="20.100000000000001" customHeight="1" x14ac:dyDescent="0.25">
      <c r="B455" s="4">
        <v>44992</v>
      </c>
      <c r="C455" s="8" t="str">
        <f>"Ord-03-23-"&amp;TEXT(ROW(C32),"000")</f>
        <v>Ord-03-23-032</v>
      </c>
      <c r="D455" s="6" t="s">
        <v>19</v>
      </c>
      <c r="E455" s="10" t="s">
        <v>32</v>
      </c>
      <c r="F455" s="10" t="s">
        <v>44</v>
      </c>
      <c r="G455" s="10" t="s">
        <v>74</v>
      </c>
      <c r="H455" s="10">
        <v>1800</v>
      </c>
      <c r="I455" s="6">
        <v>5</v>
      </c>
      <c r="J455" s="6">
        <f>H455*I455</f>
        <v>9000</v>
      </c>
    </row>
    <row r="456" spans="2:10" ht="20.100000000000001" customHeight="1" x14ac:dyDescent="0.25">
      <c r="B456" s="4">
        <v>44992</v>
      </c>
      <c r="C456" s="8" t="str">
        <f>"Ord-03-23-"&amp;TEXT(ROW(C33),"000")</f>
        <v>Ord-03-23-033</v>
      </c>
      <c r="D456" s="6" t="s">
        <v>25</v>
      </c>
      <c r="E456" s="10" t="s">
        <v>32</v>
      </c>
      <c r="F456" s="10" t="s">
        <v>44</v>
      </c>
      <c r="G456" s="10" t="s">
        <v>74</v>
      </c>
      <c r="H456" s="13">
        <v>1800</v>
      </c>
      <c r="I456" s="7">
        <v>5</v>
      </c>
      <c r="J456" s="6">
        <f>H456*I456</f>
        <v>9000</v>
      </c>
    </row>
    <row r="457" spans="2:10" ht="20.100000000000001" customHeight="1" x14ac:dyDescent="0.25">
      <c r="B457" s="4">
        <v>44992</v>
      </c>
      <c r="C457" s="8" t="str">
        <f>"Ord-03-23-"&amp;TEXT(ROW(C34),"000")</f>
        <v>Ord-03-23-034</v>
      </c>
      <c r="D457" s="6" t="s">
        <v>12</v>
      </c>
      <c r="E457" s="10" t="s">
        <v>32</v>
      </c>
      <c r="F457" s="10" t="s">
        <v>51</v>
      </c>
      <c r="G457" s="10" t="s">
        <v>81</v>
      </c>
      <c r="H457" s="10">
        <v>3000</v>
      </c>
      <c r="I457" s="6">
        <v>2</v>
      </c>
      <c r="J457" s="6">
        <f>H457*I457</f>
        <v>6000</v>
      </c>
    </row>
    <row r="458" spans="2:10" ht="20.100000000000001" customHeight="1" x14ac:dyDescent="0.25">
      <c r="B458" s="4">
        <v>44992</v>
      </c>
      <c r="C458" s="8" t="str">
        <f>"Ord-03-23-"&amp;TEXT(ROW(C35),"000")</f>
        <v>Ord-03-23-035</v>
      </c>
      <c r="D458" s="6" t="s">
        <v>21</v>
      </c>
      <c r="E458" s="10" t="s">
        <v>33</v>
      </c>
      <c r="F458" s="10" t="s">
        <v>46</v>
      </c>
      <c r="G458" s="10" t="s">
        <v>65</v>
      </c>
      <c r="H458" s="13">
        <v>15</v>
      </c>
      <c r="I458" s="7">
        <v>100</v>
      </c>
      <c r="J458" s="6">
        <f>H458*I458</f>
        <v>1500</v>
      </c>
    </row>
    <row r="459" spans="2:10" ht="20.100000000000001" customHeight="1" x14ac:dyDescent="0.25">
      <c r="B459" s="4">
        <v>44992</v>
      </c>
      <c r="C459" s="8" t="str">
        <f>"Ord-03-23-"&amp;TEXT(ROW(C36),"000")</f>
        <v>Ord-03-23-036</v>
      </c>
      <c r="D459" s="6" t="s">
        <v>10</v>
      </c>
      <c r="E459" s="10" t="s">
        <v>31</v>
      </c>
      <c r="F459" s="10" t="s">
        <v>48</v>
      </c>
      <c r="G459" s="10" t="s">
        <v>69</v>
      </c>
      <c r="H459" s="13">
        <v>3500</v>
      </c>
      <c r="I459" s="7">
        <v>5</v>
      </c>
      <c r="J459" s="6">
        <f>H459*I459</f>
        <v>17500</v>
      </c>
    </row>
    <row r="460" spans="2:10" ht="20.100000000000001" customHeight="1" x14ac:dyDescent="0.25">
      <c r="B460" s="4">
        <v>44992</v>
      </c>
      <c r="C460" s="8" t="str">
        <f>"Ord-03-23-"&amp;TEXT(ROW(C37),"000")</f>
        <v>Ord-03-23-037</v>
      </c>
      <c r="D460" s="6" t="s">
        <v>26</v>
      </c>
      <c r="E460" s="10" t="s">
        <v>29</v>
      </c>
      <c r="F460" s="10" t="s">
        <v>40</v>
      </c>
      <c r="G460" s="10" t="s">
        <v>57</v>
      </c>
      <c r="H460" s="13">
        <v>4000</v>
      </c>
      <c r="I460" s="7">
        <v>2</v>
      </c>
      <c r="J460" s="6">
        <f>H460*I460</f>
        <v>8000</v>
      </c>
    </row>
    <row r="461" spans="2:10" ht="20.100000000000001" customHeight="1" x14ac:dyDescent="0.25">
      <c r="B461" s="4">
        <v>44992</v>
      </c>
      <c r="C461" s="8" t="str">
        <f>"Ord-03-23-"&amp;TEXT(ROW(C38),"000")</f>
        <v>Ord-03-23-038</v>
      </c>
      <c r="D461" s="6" t="s">
        <v>15</v>
      </c>
      <c r="E461" s="10" t="s">
        <v>29</v>
      </c>
      <c r="F461" s="10" t="s">
        <v>39</v>
      </c>
      <c r="G461" s="10" t="s">
        <v>56</v>
      </c>
      <c r="H461" s="10">
        <v>2500</v>
      </c>
      <c r="I461" s="6">
        <v>2</v>
      </c>
      <c r="J461" s="6">
        <f>H461*I461</f>
        <v>5000</v>
      </c>
    </row>
    <row r="462" spans="2:10" ht="20.100000000000001" customHeight="1" x14ac:dyDescent="0.25">
      <c r="B462" s="4">
        <v>44992</v>
      </c>
      <c r="C462" s="8" t="str">
        <f>"Ord-03-23-"&amp;TEXT(ROW(C39),"000")</f>
        <v>Ord-03-23-039</v>
      </c>
      <c r="D462" s="6" t="s">
        <v>14</v>
      </c>
      <c r="E462" s="10" t="s">
        <v>30</v>
      </c>
      <c r="F462" s="10" t="s">
        <v>90</v>
      </c>
      <c r="G462" s="10" t="s">
        <v>59</v>
      </c>
      <c r="H462" s="10">
        <v>4800</v>
      </c>
      <c r="I462" s="6">
        <v>2</v>
      </c>
      <c r="J462" s="6">
        <f>H462*I462</f>
        <v>9600</v>
      </c>
    </row>
    <row r="463" spans="2:10" ht="20.100000000000001" customHeight="1" x14ac:dyDescent="0.25">
      <c r="B463" s="4">
        <v>44992</v>
      </c>
      <c r="C463" s="8" t="str">
        <f>"Ord-03-23-"&amp;TEXT(ROW(C40),"000")</f>
        <v>Ord-03-23-040</v>
      </c>
      <c r="D463" s="6" t="s">
        <v>11</v>
      </c>
      <c r="E463" s="10" t="s">
        <v>27</v>
      </c>
      <c r="F463" s="10" t="s">
        <v>41</v>
      </c>
      <c r="G463" s="10" t="s">
        <v>64</v>
      </c>
      <c r="H463" s="13">
        <v>2500</v>
      </c>
      <c r="I463" s="7">
        <v>1</v>
      </c>
      <c r="J463" s="6">
        <f>H463*I463</f>
        <v>2500</v>
      </c>
    </row>
    <row r="464" spans="2:10" ht="20.100000000000001" customHeight="1" x14ac:dyDescent="0.25">
      <c r="B464" s="4">
        <v>44993</v>
      </c>
      <c r="C464" s="8" t="str">
        <f>"Ord-03-23-"&amp;TEXT(ROW(C41),"000")</f>
        <v>Ord-03-23-041</v>
      </c>
      <c r="D464" s="6" t="s">
        <v>12</v>
      </c>
      <c r="E464" s="10" t="s">
        <v>31</v>
      </c>
      <c r="F464" s="10" t="s">
        <v>45</v>
      </c>
      <c r="G464" s="10" t="s">
        <v>66</v>
      </c>
      <c r="H464" s="10">
        <v>2300</v>
      </c>
      <c r="I464" s="6">
        <v>4</v>
      </c>
      <c r="J464" s="6">
        <f>H464*I464</f>
        <v>9200</v>
      </c>
    </row>
    <row r="465" spans="2:10" ht="20.100000000000001" customHeight="1" x14ac:dyDescent="0.25">
      <c r="B465" s="4">
        <v>44993</v>
      </c>
      <c r="C465" s="8" t="str">
        <f>"Ord-03-23-"&amp;TEXT(ROW(C42),"000")</f>
        <v>Ord-03-23-042</v>
      </c>
      <c r="D465" s="6" t="s">
        <v>11</v>
      </c>
      <c r="E465" s="10" t="s">
        <v>31</v>
      </c>
      <c r="F465" s="10" t="s">
        <v>48</v>
      </c>
      <c r="G465" s="10" t="s">
        <v>73</v>
      </c>
      <c r="H465" s="10">
        <v>1600</v>
      </c>
      <c r="I465" s="6">
        <v>5</v>
      </c>
      <c r="J465" s="6">
        <f>H465*I465</f>
        <v>8000</v>
      </c>
    </row>
    <row r="466" spans="2:10" ht="20.100000000000001" customHeight="1" x14ac:dyDescent="0.25">
      <c r="B466" s="4">
        <v>44993</v>
      </c>
      <c r="C466" s="8" t="str">
        <f>"Ord-03-23-"&amp;TEXT(ROW(C43),"000")</f>
        <v>Ord-03-23-043</v>
      </c>
      <c r="D466" s="6" t="s">
        <v>25</v>
      </c>
      <c r="E466" s="10" t="s">
        <v>36</v>
      </c>
      <c r="F466" s="10" t="s">
        <v>36</v>
      </c>
      <c r="G466" s="10" t="s">
        <v>41</v>
      </c>
      <c r="H466" s="10">
        <v>2000</v>
      </c>
      <c r="I466" s="6">
        <v>4</v>
      </c>
      <c r="J466" s="6">
        <f>H466*I466</f>
        <v>8000</v>
      </c>
    </row>
    <row r="467" spans="2:10" ht="20.100000000000001" customHeight="1" x14ac:dyDescent="0.25">
      <c r="B467" s="4">
        <v>44993</v>
      </c>
      <c r="C467" s="8" t="str">
        <f>"Ord-03-23-"&amp;TEXT(ROW(C44),"000")</f>
        <v>Ord-03-23-044</v>
      </c>
      <c r="D467" s="6" t="s">
        <v>18</v>
      </c>
      <c r="E467" s="10" t="s">
        <v>29</v>
      </c>
      <c r="F467" s="10" t="s">
        <v>40</v>
      </c>
      <c r="G467" s="10" t="s">
        <v>84</v>
      </c>
      <c r="H467" s="10">
        <v>7500</v>
      </c>
      <c r="I467" s="6">
        <v>1</v>
      </c>
      <c r="J467" s="6">
        <f>H467*I467</f>
        <v>7500</v>
      </c>
    </row>
    <row r="468" spans="2:10" ht="20.100000000000001" customHeight="1" x14ac:dyDescent="0.25">
      <c r="B468" s="4">
        <v>44993</v>
      </c>
      <c r="C468" s="8" t="str">
        <f>"Ord-03-23-"&amp;TEXT(ROW(C45),"000")</f>
        <v>Ord-03-23-045</v>
      </c>
      <c r="D468" s="6" t="s">
        <v>19</v>
      </c>
      <c r="E468" s="10" t="s">
        <v>27</v>
      </c>
      <c r="F468" s="10" t="s">
        <v>41</v>
      </c>
      <c r="G468" s="10" t="s">
        <v>53</v>
      </c>
      <c r="H468" s="10">
        <v>3000</v>
      </c>
      <c r="I468" s="6">
        <v>2</v>
      </c>
      <c r="J468" s="6">
        <f>H468*I468</f>
        <v>6000</v>
      </c>
    </row>
    <row r="469" spans="2:10" ht="20.100000000000001" customHeight="1" x14ac:dyDescent="0.25">
      <c r="B469" s="4">
        <v>44994</v>
      </c>
      <c r="C469" s="8" t="str">
        <f>"Ord-03-23-"&amp;TEXT(ROW(C46),"000")</f>
        <v>Ord-03-23-046</v>
      </c>
      <c r="D469" s="6" t="s">
        <v>18</v>
      </c>
      <c r="E469" s="10" t="s">
        <v>31</v>
      </c>
      <c r="F469" s="10" t="s">
        <v>43</v>
      </c>
      <c r="G469" s="10" t="s">
        <v>66</v>
      </c>
      <c r="H469" s="10">
        <v>4500</v>
      </c>
      <c r="I469" s="6">
        <v>2</v>
      </c>
      <c r="J469" s="6">
        <f>H469*I469</f>
        <v>9000</v>
      </c>
    </row>
    <row r="470" spans="2:10" ht="20.100000000000001" customHeight="1" x14ac:dyDescent="0.25">
      <c r="B470" s="4">
        <v>44994</v>
      </c>
      <c r="C470" s="8" t="str">
        <f>"Ord-03-23-"&amp;TEXT(ROW(C47),"000")</f>
        <v>Ord-03-23-047</v>
      </c>
      <c r="D470" s="6" t="s">
        <v>19</v>
      </c>
      <c r="E470" s="10" t="s">
        <v>31</v>
      </c>
      <c r="F470" s="10" t="s">
        <v>45</v>
      </c>
      <c r="G470" s="10" t="s">
        <v>67</v>
      </c>
      <c r="H470" s="10">
        <v>8500</v>
      </c>
      <c r="I470" s="6">
        <v>2</v>
      </c>
      <c r="J470" s="6">
        <f>H470*I470</f>
        <v>17000</v>
      </c>
    </row>
    <row r="471" spans="2:10" ht="20.100000000000001" customHeight="1" x14ac:dyDescent="0.25">
      <c r="B471" s="4">
        <v>44994</v>
      </c>
      <c r="C471" s="8" t="str">
        <f>"Ord-03-23-"&amp;TEXT(ROW(C48),"000")</f>
        <v>Ord-03-23-048</v>
      </c>
      <c r="D471" s="6" t="s">
        <v>13</v>
      </c>
      <c r="E471" s="10" t="s">
        <v>27</v>
      </c>
      <c r="F471" s="10" t="s">
        <v>42</v>
      </c>
      <c r="G471" s="10" t="s">
        <v>42</v>
      </c>
      <c r="H471" s="13">
        <v>2500</v>
      </c>
      <c r="I471" s="6">
        <v>1</v>
      </c>
      <c r="J471" s="6">
        <f>H471*I471</f>
        <v>2500</v>
      </c>
    </row>
    <row r="472" spans="2:10" ht="20.100000000000001" customHeight="1" x14ac:dyDescent="0.25">
      <c r="B472" s="4">
        <v>44994</v>
      </c>
      <c r="C472" s="8" t="str">
        <f>"Ord-03-23-"&amp;TEXT(ROW(C49),"000")</f>
        <v>Ord-03-23-049</v>
      </c>
      <c r="D472" s="6" t="s">
        <v>25</v>
      </c>
      <c r="E472" s="10" t="s">
        <v>27</v>
      </c>
      <c r="F472" s="10" t="s">
        <v>42</v>
      </c>
      <c r="G472" s="10" t="s">
        <v>42</v>
      </c>
      <c r="H472" s="13">
        <v>2500</v>
      </c>
      <c r="I472" s="6">
        <v>2</v>
      </c>
      <c r="J472" s="6">
        <f>H472*I472</f>
        <v>5000</v>
      </c>
    </row>
    <row r="473" spans="2:10" ht="20.100000000000001" customHeight="1" x14ac:dyDescent="0.25">
      <c r="B473" s="4">
        <v>44994</v>
      </c>
      <c r="C473" s="8" t="str">
        <f>"Ord-03-23-"&amp;TEXT(ROW(C50),"000")</f>
        <v>Ord-03-23-050</v>
      </c>
      <c r="D473" s="6" t="s">
        <v>11</v>
      </c>
      <c r="E473" s="10" t="s">
        <v>27</v>
      </c>
      <c r="F473" s="10" t="s">
        <v>42</v>
      </c>
      <c r="G473" s="10" t="s">
        <v>42</v>
      </c>
      <c r="H473" s="13">
        <v>2500</v>
      </c>
      <c r="I473" s="6">
        <v>4</v>
      </c>
      <c r="J473" s="6">
        <f>H473*I473</f>
        <v>10000</v>
      </c>
    </row>
    <row r="474" spans="2:10" ht="20.100000000000001" customHeight="1" x14ac:dyDescent="0.25">
      <c r="B474" s="4">
        <v>44995</v>
      </c>
      <c r="C474" s="8" t="str">
        <f>"Ord-03-23-"&amp;TEXT(ROW(C51),"000")</f>
        <v>Ord-03-23-051</v>
      </c>
      <c r="D474" s="6" t="s">
        <v>26</v>
      </c>
      <c r="E474" s="10" t="s">
        <v>28</v>
      </c>
      <c r="F474" s="10" t="s">
        <v>28</v>
      </c>
      <c r="G474" s="10" t="s">
        <v>71</v>
      </c>
      <c r="H474" s="10">
        <v>850</v>
      </c>
      <c r="I474" s="6">
        <v>1</v>
      </c>
      <c r="J474" s="6">
        <f>H474*I474</f>
        <v>850</v>
      </c>
    </row>
    <row r="475" spans="2:10" ht="20.100000000000001" customHeight="1" x14ac:dyDescent="0.25">
      <c r="B475" s="4">
        <v>44995</v>
      </c>
      <c r="C475" s="8" t="str">
        <f>"Ord-03-23-"&amp;TEXT(ROW(C52),"000")</f>
        <v>Ord-03-23-052</v>
      </c>
      <c r="D475" s="6" t="s">
        <v>20</v>
      </c>
      <c r="E475" s="10" t="s">
        <v>28</v>
      </c>
      <c r="F475" s="10" t="s">
        <v>28</v>
      </c>
      <c r="G475" s="10" t="s">
        <v>71</v>
      </c>
      <c r="H475" s="10">
        <v>850</v>
      </c>
      <c r="I475" s="6">
        <v>2</v>
      </c>
      <c r="J475" s="6">
        <f>H475*I475</f>
        <v>1700</v>
      </c>
    </row>
    <row r="476" spans="2:10" ht="20.100000000000001" customHeight="1" x14ac:dyDescent="0.25">
      <c r="B476" s="4">
        <v>44995</v>
      </c>
      <c r="C476" s="8" t="str">
        <f>"Ord-03-23-"&amp;TEXT(ROW(C53),"000")</f>
        <v>Ord-03-23-053</v>
      </c>
      <c r="D476" s="6" t="s">
        <v>13</v>
      </c>
      <c r="E476" s="10" t="s">
        <v>27</v>
      </c>
      <c r="F476" s="10" t="s">
        <v>37</v>
      </c>
      <c r="G476" s="10" t="s">
        <v>53</v>
      </c>
      <c r="H476" s="10">
        <v>5200</v>
      </c>
      <c r="I476" s="6">
        <v>1</v>
      </c>
      <c r="J476" s="6">
        <f>H476*I476</f>
        <v>5200</v>
      </c>
    </row>
    <row r="477" spans="2:10" ht="20.100000000000001" customHeight="1" x14ac:dyDescent="0.25">
      <c r="B477" s="4">
        <v>44995</v>
      </c>
      <c r="C477" s="8" t="str">
        <f>"Ord-03-23-"&amp;TEXT(ROW(C54),"000")</f>
        <v>Ord-03-23-054</v>
      </c>
      <c r="D477" s="6" t="s">
        <v>21</v>
      </c>
      <c r="E477" s="10" t="s">
        <v>27</v>
      </c>
      <c r="F477" s="10" t="s">
        <v>41</v>
      </c>
      <c r="G477" s="10" t="s">
        <v>54</v>
      </c>
      <c r="H477" s="10">
        <v>2800</v>
      </c>
      <c r="I477" s="6">
        <v>1</v>
      </c>
      <c r="J477" s="6">
        <f>H477*I477</f>
        <v>2800</v>
      </c>
    </row>
    <row r="478" spans="2:10" ht="20.100000000000001" customHeight="1" x14ac:dyDescent="0.25">
      <c r="B478" s="4">
        <v>44995</v>
      </c>
      <c r="C478" s="8" t="str">
        <f>"Ord-03-23-"&amp;TEXT(ROW(C55),"000")</f>
        <v>Ord-03-23-055</v>
      </c>
      <c r="D478" s="6" t="s">
        <v>15</v>
      </c>
      <c r="E478" s="10" t="s">
        <v>27</v>
      </c>
      <c r="F478" s="10" t="s">
        <v>41</v>
      </c>
      <c r="G478" s="10" t="s">
        <v>64</v>
      </c>
      <c r="H478" s="10">
        <v>2500</v>
      </c>
      <c r="I478" s="6">
        <v>2</v>
      </c>
      <c r="J478" s="6">
        <f>H478*I478</f>
        <v>5000</v>
      </c>
    </row>
    <row r="479" spans="2:10" ht="20.100000000000001" customHeight="1" x14ac:dyDescent="0.25">
      <c r="B479" s="4">
        <v>44996</v>
      </c>
      <c r="C479" s="8" t="str">
        <f>"Ord-03-23-"&amp;TEXT(ROW(C56),"000")</f>
        <v>Ord-03-23-056</v>
      </c>
      <c r="D479" s="6" t="s">
        <v>14</v>
      </c>
      <c r="E479" s="10" t="s">
        <v>32</v>
      </c>
      <c r="F479" s="10" t="s">
        <v>44</v>
      </c>
      <c r="G479" s="10" t="s">
        <v>87</v>
      </c>
      <c r="H479" s="10">
        <v>1500</v>
      </c>
      <c r="I479" s="6">
        <v>2</v>
      </c>
      <c r="J479" s="6">
        <f>H479*I479</f>
        <v>3000</v>
      </c>
    </row>
    <row r="480" spans="2:10" ht="20.100000000000001" customHeight="1" x14ac:dyDescent="0.25">
      <c r="B480" s="4">
        <v>44996</v>
      </c>
      <c r="C480" s="8" t="str">
        <f>"Ord-03-23-"&amp;TEXT(ROW(C57),"000")</f>
        <v>Ord-03-23-057</v>
      </c>
      <c r="D480" s="6" t="s">
        <v>20</v>
      </c>
      <c r="E480" s="10" t="s">
        <v>33</v>
      </c>
      <c r="F480" s="10" t="s">
        <v>47</v>
      </c>
      <c r="G480" s="10" t="s">
        <v>65</v>
      </c>
      <c r="H480" s="10">
        <v>25</v>
      </c>
      <c r="I480" s="6">
        <v>450</v>
      </c>
      <c r="J480" s="6">
        <f>H480*I480</f>
        <v>11250</v>
      </c>
    </row>
    <row r="481" spans="2:10" ht="20.100000000000001" customHeight="1" x14ac:dyDescent="0.25">
      <c r="B481" s="4">
        <v>44996</v>
      </c>
      <c r="C481" s="8" t="str">
        <f>"Ord-03-23-"&amp;TEXT(ROW(C58),"000")</f>
        <v>Ord-03-23-058</v>
      </c>
      <c r="D481" s="6" t="s">
        <v>20</v>
      </c>
      <c r="E481" s="10" t="s">
        <v>33</v>
      </c>
      <c r="F481" s="10" t="s">
        <v>46</v>
      </c>
      <c r="G481" s="10" t="s">
        <v>65</v>
      </c>
      <c r="H481" s="10">
        <v>15</v>
      </c>
      <c r="I481" s="6">
        <v>300</v>
      </c>
      <c r="J481" s="6">
        <f>H481*I481</f>
        <v>4500</v>
      </c>
    </row>
    <row r="482" spans="2:10" ht="20.100000000000001" customHeight="1" x14ac:dyDescent="0.25">
      <c r="B482" s="4">
        <v>44996</v>
      </c>
      <c r="C482" s="8" t="str">
        <f>"Ord-03-23-"&amp;TEXT(ROW(C59),"000")</f>
        <v>Ord-03-23-059</v>
      </c>
      <c r="D482" s="6" t="s">
        <v>9</v>
      </c>
      <c r="E482" s="10" t="s">
        <v>29</v>
      </c>
      <c r="F482" s="10" t="s">
        <v>40</v>
      </c>
      <c r="G482" s="10" t="s">
        <v>84</v>
      </c>
      <c r="H482" s="10">
        <v>7500</v>
      </c>
      <c r="I482" s="6">
        <v>5</v>
      </c>
      <c r="J482" s="6">
        <f>H482*I482</f>
        <v>37500</v>
      </c>
    </row>
    <row r="483" spans="2:10" ht="20.100000000000001" customHeight="1" x14ac:dyDescent="0.25">
      <c r="B483" s="4">
        <v>44996</v>
      </c>
      <c r="C483" s="8" t="str">
        <f>"Ord-03-23-"&amp;TEXT(ROW(C60),"000")</f>
        <v>Ord-03-23-060</v>
      </c>
      <c r="D483" s="6" t="s">
        <v>7</v>
      </c>
      <c r="E483" s="10" t="s">
        <v>27</v>
      </c>
      <c r="F483" s="10" t="s">
        <v>38</v>
      </c>
      <c r="G483" s="10" t="s">
        <v>53</v>
      </c>
      <c r="H483" s="10">
        <v>5500</v>
      </c>
      <c r="I483" s="6">
        <v>1</v>
      </c>
      <c r="J483" s="6">
        <f>H483*I483</f>
        <v>5500</v>
      </c>
    </row>
    <row r="484" spans="2:10" ht="20.100000000000001" customHeight="1" x14ac:dyDescent="0.25">
      <c r="B484" s="4">
        <v>44997</v>
      </c>
      <c r="C484" s="8" t="str">
        <f>"Ord-03-23-"&amp;TEXT(ROW(C61),"000")</f>
        <v>Ord-03-23-061</v>
      </c>
      <c r="D484" s="6" t="s">
        <v>20</v>
      </c>
      <c r="E484" s="10" t="s">
        <v>33</v>
      </c>
      <c r="F484" s="10" t="s">
        <v>46</v>
      </c>
      <c r="G484" s="10" t="s">
        <v>65</v>
      </c>
      <c r="H484" s="10">
        <v>15</v>
      </c>
      <c r="I484" s="6">
        <v>180</v>
      </c>
      <c r="J484" s="6">
        <f>H484*I484</f>
        <v>2700</v>
      </c>
    </row>
    <row r="485" spans="2:10" ht="20.100000000000001" customHeight="1" x14ac:dyDescent="0.25">
      <c r="B485" s="4">
        <v>44997</v>
      </c>
      <c r="C485" s="8" t="str">
        <f>"Ord-03-23-"&amp;TEXT(ROW(C62),"000")</f>
        <v>Ord-03-23-062</v>
      </c>
      <c r="D485" s="6" t="s">
        <v>22</v>
      </c>
      <c r="E485" s="10" t="s">
        <v>31</v>
      </c>
      <c r="F485" s="10" t="s">
        <v>43</v>
      </c>
      <c r="G485" s="10" t="s">
        <v>82</v>
      </c>
      <c r="H485" s="10">
        <v>16000</v>
      </c>
      <c r="I485" s="6">
        <v>1</v>
      </c>
      <c r="J485" s="6">
        <f>H485*I485</f>
        <v>16000</v>
      </c>
    </row>
    <row r="486" spans="2:10" ht="20.100000000000001" customHeight="1" x14ac:dyDescent="0.25">
      <c r="B486" s="4">
        <v>44997</v>
      </c>
      <c r="C486" s="8" t="str">
        <f>"Ord-03-23-"&amp;TEXT(ROW(C63),"000")</f>
        <v>Ord-03-23-063</v>
      </c>
      <c r="D486" s="6" t="s">
        <v>15</v>
      </c>
      <c r="E486" s="10" t="s">
        <v>31</v>
      </c>
      <c r="F486" s="10" t="s">
        <v>43</v>
      </c>
      <c r="G486" s="10" t="s">
        <v>61</v>
      </c>
      <c r="H486" s="10">
        <v>18000</v>
      </c>
      <c r="I486" s="6">
        <v>3</v>
      </c>
      <c r="J486" s="6">
        <f>H486*I486</f>
        <v>54000</v>
      </c>
    </row>
    <row r="487" spans="2:10" ht="20.100000000000001" customHeight="1" x14ac:dyDescent="0.25">
      <c r="B487" s="4">
        <v>44997</v>
      </c>
      <c r="C487" s="8" t="str">
        <f>"Ord-03-23-"&amp;TEXT(ROW(C64),"000")</f>
        <v>Ord-03-23-064</v>
      </c>
      <c r="D487" s="6" t="s">
        <v>7</v>
      </c>
      <c r="E487" s="10" t="s">
        <v>36</v>
      </c>
      <c r="F487" s="10" t="s">
        <v>36</v>
      </c>
      <c r="G487" s="10" t="s">
        <v>78</v>
      </c>
      <c r="H487" s="10">
        <v>2500</v>
      </c>
      <c r="I487" s="6">
        <v>2</v>
      </c>
      <c r="J487" s="6">
        <f>H487*I487</f>
        <v>5000</v>
      </c>
    </row>
    <row r="488" spans="2:10" ht="20.100000000000001" customHeight="1" x14ac:dyDescent="0.25">
      <c r="B488" s="4">
        <v>44997</v>
      </c>
      <c r="C488" s="8" t="str">
        <f>"Ord-03-23-"&amp;TEXT(ROW(C65),"000")</f>
        <v>Ord-03-23-065</v>
      </c>
      <c r="D488" s="6" t="s">
        <v>8</v>
      </c>
      <c r="E488" s="10" t="s">
        <v>27</v>
      </c>
      <c r="F488" s="10" t="s">
        <v>37</v>
      </c>
      <c r="G488" s="10" t="s">
        <v>53</v>
      </c>
      <c r="H488" s="10">
        <v>5200</v>
      </c>
      <c r="I488" s="6">
        <v>3</v>
      </c>
      <c r="J488" s="6">
        <f>H488*I488</f>
        <v>15600</v>
      </c>
    </row>
    <row r="489" spans="2:10" ht="20.100000000000001" customHeight="1" x14ac:dyDescent="0.25">
      <c r="B489" s="4">
        <v>44998</v>
      </c>
      <c r="C489" s="8" t="str">
        <f>"Ord-03-23-"&amp;TEXT(ROW(C66),"000")</f>
        <v>Ord-03-23-066</v>
      </c>
      <c r="D489" s="6" t="s">
        <v>24</v>
      </c>
      <c r="E489" s="10" t="s">
        <v>35</v>
      </c>
      <c r="F489" s="12" t="s">
        <v>90</v>
      </c>
      <c r="G489" s="10" t="s">
        <v>55</v>
      </c>
      <c r="H489" s="10">
        <v>5000</v>
      </c>
      <c r="I489" s="6">
        <v>4</v>
      </c>
      <c r="J489" s="6">
        <f>H489*I489</f>
        <v>20000</v>
      </c>
    </row>
    <row r="490" spans="2:10" ht="20.100000000000001" customHeight="1" x14ac:dyDescent="0.25">
      <c r="B490" s="4">
        <v>44998</v>
      </c>
      <c r="C490" s="8" t="str">
        <f>"Ord-03-23-"&amp;TEXT(ROW(C67),"000")</f>
        <v>Ord-03-23-067</v>
      </c>
      <c r="D490" s="6" t="s">
        <v>10</v>
      </c>
      <c r="E490" s="10" t="s">
        <v>33</v>
      </c>
      <c r="F490" s="10" t="s">
        <v>47</v>
      </c>
      <c r="G490" s="10" t="s">
        <v>65</v>
      </c>
      <c r="H490" s="10">
        <v>25</v>
      </c>
      <c r="I490" s="6">
        <v>1000</v>
      </c>
      <c r="J490" s="6">
        <f>H490*I490</f>
        <v>25000</v>
      </c>
    </row>
    <row r="491" spans="2:10" ht="20.100000000000001" customHeight="1" x14ac:dyDescent="0.25">
      <c r="B491" s="4">
        <v>44998</v>
      </c>
      <c r="C491" s="8" t="str">
        <f>"Ord-03-23-"&amp;TEXT(ROW(C68),"000")</f>
        <v>Ord-03-23-068</v>
      </c>
      <c r="D491" s="6" t="s">
        <v>18</v>
      </c>
      <c r="E491" s="10" t="s">
        <v>31</v>
      </c>
      <c r="F491" s="10" t="s">
        <v>43</v>
      </c>
      <c r="G491" s="10" t="s">
        <v>76</v>
      </c>
      <c r="H491" s="10">
        <v>4800</v>
      </c>
      <c r="I491" s="6">
        <v>1</v>
      </c>
      <c r="J491" s="6">
        <f>H491*I491</f>
        <v>4800</v>
      </c>
    </row>
    <row r="492" spans="2:10" ht="20.100000000000001" customHeight="1" x14ac:dyDescent="0.25">
      <c r="B492" s="4">
        <v>44998</v>
      </c>
      <c r="C492" s="8" t="str">
        <f>"Ord-03-23-"&amp;TEXT(ROW(C69),"000")</f>
        <v>Ord-03-23-069</v>
      </c>
      <c r="D492" s="6" t="s">
        <v>16</v>
      </c>
      <c r="E492" s="10" t="s">
        <v>31</v>
      </c>
      <c r="F492" s="10" t="s">
        <v>52</v>
      </c>
      <c r="G492" s="10" t="s">
        <v>73</v>
      </c>
      <c r="H492" s="10">
        <v>2500</v>
      </c>
      <c r="I492" s="6">
        <v>2</v>
      </c>
      <c r="J492" s="6">
        <f>H492*I492</f>
        <v>5000</v>
      </c>
    </row>
    <row r="493" spans="2:10" ht="20.100000000000001" customHeight="1" x14ac:dyDescent="0.25">
      <c r="B493" s="4">
        <v>44998</v>
      </c>
      <c r="C493" s="8" t="str">
        <f>"Ord-03-23-"&amp;TEXT(ROW(C70),"000")</f>
        <v>Ord-03-23-070</v>
      </c>
      <c r="D493" s="6" t="s">
        <v>12</v>
      </c>
      <c r="E493" s="10" t="s">
        <v>27</v>
      </c>
      <c r="F493" s="10" t="s">
        <v>50</v>
      </c>
      <c r="G493" s="10" t="s">
        <v>54</v>
      </c>
      <c r="H493" s="10">
        <v>3200</v>
      </c>
      <c r="I493" s="6">
        <v>3</v>
      </c>
      <c r="J493" s="6">
        <f>H493*I493</f>
        <v>9600</v>
      </c>
    </row>
    <row r="494" spans="2:10" ht="20.100000000000001" customHeight="1" x14ac:dyDescent="0.25">
      <c r="B494" s="4">
        <v>44999</v>
      </c>
      <c r="C494" s="8" t="str">
        <f>"Ord-03-23-"&amp;TEXT(ROW(C71),"000")</f>
        <v>Ord-03-23-071</v>
      </c>
      <c r="D494" s="6" t="s">
        <v>18</v>
      </c>
      <c r="E494" s="10" t="s">
        <v>33</v>
      </c>
      <c r="F494" s="10" t="s">
        <v>46</v>
      </c>
      <c r="G494" s="10" t="s">
        <v>65</v>
      </c>
      <c r="H494" s="10">
        <v>15</v>
      </c>
      <c r="I494" s="6">
        <v>600</v>
      </c>
      <c r="J494" s="6">
        <f>H494*I494</f>
        <v>9000</v>
      </c>
    </row>
    <row r="495" spans="2:10" ht="20.100000000000001" customHeight="1" x14ac:dyDescent="0.25">
      <c r="B495" s="4">
        <v>44999</v>
      </c>
      <c r="C495" s="8" t="str">
        <f>"Ord-03-23-"&amp;TEXT(ROW(C72),"000")</f>
        <v>Ord-03-23-072</v>
      </c>
      <c r="D495" s="6" t="s">
        <v>8</v>
      </c>
      <c r="E495" s="10" t="s">
        <v>31</v>
      </c>
      <c r="F495" s="10" t="s">
        <v>43</v>
      </c>
      <c r="G495" s="10" t="s">
        <v>63</v>
      </c>
      <c r="H495" s="10">
        <v>4200</v>
      </c>
      <c r="I495" s="6">
        <v>2</v>
      </c>
      <c r="J495" s="6">
        <f>H495*I495</f>
        <v>8400</v>
      </c>
    </row>
    <row r="496" spans="2:10" ht="20.100000000000001" customHeight="1" x14ac:dyDescent="0.25">
      <c r="B496" s="4">
        <v>44999</v>
      </c>
      <c r="C496" s="8" t="str">
        <f>"Ord-03-23-"&amp;TEXT(ROW(C73),"000")</f>
        <v>Ord-03-23-073</v>
      </c>
      <c r="D496" s="6" t="s">
        <v>23</v>
      </c>
      <c r="E496" s="10" t="s">
        <v>30</v>
      </c>
      <c r="F496" s="10" t="s">
        <v>90</v>
      </c>
      <c r="G496" s="10" t="s">
        <v>59</v>
      </c>
      <c r="H496" s="10">
        <v>4800</v>
      </c>
      <c r="I496" s="6">
        <v>5</v>
      </c>
      <c r="J496" s="6">
        <f>H496*I496</f>
        <v>24000</v>
      </c>
    </row>
    <row r="497" spans="2:10" ht="20.100000000000001" customHeight="1" x14ac:dyDescent="0.25">
      <c r="B497" s="4">
        <v>44999</v>
      </c>
      <c r="C497" s="8" t="str">
        <f>"Ord-03-23-"&amp;TEXT(ROW(C74),"000")</f>
        <v>Ord-03-23-074</v>
      </c>
      <c r="D497" s="6" t="s">
        <v>21</v>
      </c>
      <c r="E497" s="10" t="s">
        <v>27</v>
      </c>
      <c r="F497" s="10" t="s">
        <v>42</v>
      </c>
      <c r="G497" s="10" t="s">
        <v>42</v>
      </c>
      <c r="H497" s="10">
        <v>2500</v>
      </c>
      <c r="I497" s="6">
        <v>3</v>
      </c>
      <c r="J497" s="6">
        <f>H497*I497</f>
        <v>7500</v>
      </c>
    </row>
    <row r="498" spans="2:10" ht="20.100000000000001" customHeight="1" x14ac:dyDescent="0.25">
      <c r="B498" s="4">
        <v>44999</v>
      </c>
      <c r="C498" s="8" t="str">
        <f>"Ord-03-23-"&amp;TEXT(ROW(C75),"000")</f>
        <v>Ord-03-23-075</v>
      </c>
      <c r="D498" s="6" t="s">
        <v>24</v>
      </c>
      <c r="E498" s="10" t="s">
        <v>27</v>
      </c>
      <c r="F498" s="10" t="s">
        <v>38</v>
      </c>
      <c r="G498" s="10" t="s">
        <v>64</v>
      </c>
      <c r="H498" s="10">
        <v>5500</v>
      </c>
      <c r="I498" s="6">
        <v>1</v>
      </c>
      <c r="J498" s="6">
        <f>H498*I498</f>
        <v>5500</v>
      </c>
    </row>
    <row r="499" spans="2:10" ht="20.100000000000001" customHeight="1" x14ac:dyDescent="0.25">
      <c r="B499" s="4">
        <v>45000</v>
      </c>
      <c r="C499" s="8" t="str">
        <f>"Ord-03-23-"&amp;TEXT(ROW(C76),"000")</f>
        <v>Ord-03-23-076</v>
      </c>
      <c r="D499" s="6" t="s">
        <v>8</v>
      </c>
      <c r="E499" s="10" t="s">
        <v>28</v>
      </c>
      <c r="F499" s="10" t="s">
        <v>28</v>
      </c>
      <c r="G499" s="10" t="s">
        <v>79</v>
      </c>
      <c r="H499" s="10">
        <v>600</v>
      </c>
      <c r="I499" s="6">
        <v>1</v>
      </c>
      <c r="J499" s="6">
        <f>H499*I499</f>
        <v>600</v>
      </c>
    </row>
    <row r="500" spans="2:10" ht="20.100000000000001" customHeight="1" x14ac:dyDescent="0.25">
      <c r="B500" s="4">
        <v>45000</v>
      </c>
      <c r="C500" s="8" t="str">
        <f>"Ord-03-23-"&amp;TEXT(ROW(C77),"000")</f>
        <v>Ord-03-23-077</v>
      </c>
      <c r="D500" s="6" t="s">
        <v>12</v>
      </c>
      <c r="E500" s="10" t="s">
        <v>28</v>
      </c>
      <c r="F500" s="10" t="s">
        <v>28</v>
      </c>
      <c r="G500" s="10" t="s">
        <v>55</v>
      </c>
      <c r="H500" s="10">
        <v>750</v>
      </c>
      <c r="I500" s="6">
        <v>5</v>
      </c>
      <c r="J500" s="6">
        <f>H500*I500</f>
        <v>3750</v>
      </c>
    </row>
    <row r="501" spans="2:10" ht="20.100000000000001" customHeight="1" x14ac:dyDescent="0.25">
      <c r="B501" s="4">
        <v>45000</v>
      </c>
      <c r="C501" s="8" t="str">
        <f>"Ord-03-23-"&amp;TEXT(ROW(C78),"000")</f>
        <v>Ord-03-23-078</v>
      </c>
      <c r="D501" s="6" t="s">
        <v>12</v>
      </c>
      <c r="E501" s="10" t="s">
        <v>31</v>
      </c>
      <c r="F501" s="10" t="s">
        <v>48</v>
      </c>
      <c r="G501" s="10" t="s">
        <v>82</v>
      </c>
      <c r="H501" s="10">
        <v>8500</v>
      </c>
      <c r="I501" s="6">
        <v>5</v>
      </c>
      <c r="J501" s="6">
        <f>H501*I501</f>
        <v>42500</v>
      </c>
    </row>
    <row r="502" spans="2:10" ht="20.100000000000001" customHeight="1" x14ac:dyDescent="0.25">
      <c r="B502" s="4">
        <v>45000</v>
      </c>
      <c r="C502" s="8" t="str">
        <f>"Ord-03-23-"&amp;TEXT(ROW(C79),"000")</f>
        <v>Ord-03-23-079</v>
      </c>
      <c r="D502" s="6" t="s">
        <v>16</v>
      </c>
      <c r="E502" s="10" t="s">
        <v>30</v>
      </c>
      <c r="F502" s="10" t="s">
        <v>90</v>
      </c>
      <c r="G502" s="10" t="s">
        <v>86</v>
      </c>
      <c r="H502" s="10">
        <v>7500</v>
      </c>
      <c r="I502" s="6">
        <v>3</v>
      </c>
      <c r="J502" s="6">
        <f>H502*I502</f>
        <v>22500</v>
      </c>
    </row>
    <row r="503" spans="2:10" ht="20.100000000000001" customHeight="1" x14ac:dyDescent="0.25">
      <c r="B503" s="4">
        <v>45000</v>
      </c>
      <c r="C503" s="8" t="str">
        <f>"Ord-03-23-"&amp;TEXT(ROW(C80),"000")</f>
        <v>Ord-03-23-080</v>
      </c>
      <c r="D503" s="6" t="s">
        <v>11</v>
      </c>
      <c r="E503" s="10" t="s">
        <v>27</v>
      </c>
      <c r="F503" s="10" t="s">
        <v>50</v>
      </c>
      <c r="G503" s="10" t="s">
        <v>54</v>
      </c>
      <c r="H503" s="10">
        <v>3200</v>
      </c>
      <c r="I503" s="6">
        <v>1</v>
      </c>
      <c r="J503" s="6">
        <f>H503*I503</f>
        <v>3200</v>
      </c>
    </row>
    <row r="504" spans="2:10" ht="20.100000000000001" customHeight="1" x14ac:dyDescent="0.25">
      <c r="B504" s="4">
        <v>45001</v>
      </c>
      <c r="C504" s="8" t="str">
        <f>"Ord-03-23-"&amp;TEXT(ROW(C81),"000")</f>
        <v>Ord-03-23-081</v>
      </c>
      <c r="D504" s="6" t="s">
        <v>15</v>
      </c>
      <c r="E504" s="10" t="s">
        <v>35</v>
      </c>
      <c r="F504" s="12" t="s">
        <v>90</v>
      </c>
      <c r="G504" s="10" t="s">
        <v>71</v>
      </c>
      <c r="H504" s="10">
        <v>5500</v>
      </c>
      <c r="I504" s="6">
        <v>2</v>
      </c>
      <c r="J504" s="6">
        <f>H504*I504</f>
        <v>11000</v>
      </c>
    </row>
    <row r="505" spans="2:10" ht="20.100000000000001" customHeight="1" x14ac:dyDescent="0.25">
      <c r="B505" s="4">
        <v>45001</v>
      </c>
      <c r="C505" s="8" t="str">
        <f>"Ord-03-23-"&amp;TEXT(ROW(C82),"000")</f>
        <v>Ord-03-23-082</v>
      </c>
      <c r="D505" s="6" t="s">
        <v>19</v>
      </c>
      <c r="E505" s="10" t="s">
        <v>33</v>
      </c>
      <c r="F505" s="10" t="s">
        <v>47</v>
      </c>
      <c r="G505" s="10" t="s">
        <v>65</v>
      </c>
      <c r="H505" s="10">
        <v>25</v>
      </c>
      <c r="I505" s="6">
        <v>500</v>
      </c>
      <c r="J505" s="6">
        <f>H505*I505</f>
        <v>12500</v>
      </c>
    </row>
    <row r="506" spans="2:10" ht="20.100000000000001" customHeight="1" x14ac:dyDescent="0.25">
      <c r="B506" s="4">
        <v>45001</v>
      </c>
      <c r="C506" s="8" t="str">
        <f>"Ord-03-23-"&amp;TEXT(ROW(C83),"000")</f>
        <v>Ord-03-23-083</v>
      </c>
      <c r="D506" s="6" t="s">
        <v>11</v>
      </c>
      <c r="E506" s="10" t="s">
        <v>31</v>
      </c>
      <c r="F506" s="10" t="s">
        <v>43</v>
      </c>
      <c r="G506" s="10" t="s">
        <v>66</v>
      </c>
      <c r="H506" s="10">
        <v>4500</v>
      </c>
      <c r="I506" s="6">
        <v>5</v>
      </c>
      <c r="J506" s="6">
        <f>H506*I506</f>
        <v>22500</v>
      </c>
    </row>
    <row r="507" spans="2:10" ht="20.100000000000001" customHeight="1" x14ac:dyDescent="0.25">
      <c r="B507" s="4">
        <v>45001</v>
      </c>
      <c r="C507" s="8" t="str">
        <f>"Ord-03-23-"&amp;TEXT(ROW(C84),"000")</f>
        <v>Ord-03-23-084</v>
      </c>
      <c r="D507" s="6" t="s">
        <v>18</v>
      </c>
      <c r="E507" s="10" t="s">
        <v>29</v>
      </c>
      <c r="F507" s="10" t="s">
        <v>39</v>
      </c>
      <c r="G507" s="10" t="s">
        <v>60</v>
      </c>
      <c r="H507" s="10">
        <v>1500</v>
      </c>
      <c r="I507" s="6">
        <v>4</v>
      </c>
      <c r="J507" s="6">
        <f>H507*I507</f>
        <v>6000</v>
      </c>
    </row>
    <row r="508" spans="2:10" ht="20.100000000000001" customHeight="1" x14ac:dyDescent="0.25">
      <c r="B508" s="4">
        <v>45001</v>
      </c>
      <c r="C508" s="8" t="str">
        <f>"Ord-03-23-"&amp;TEXT(ROW(C85),"000")</f>
        <v>Ord-03-23-085</v>
      </c>
      <c r="D508" s="6" t="s">
        <v>15</v>
      </c>
      <c r="E508" s="10" t="s">
        <v>27</v>
      </c>
      <c r="F508" s="10" t="s">
        <v>41</v>
      </c>
      <c r="G508" s="10" t="s">
        <v>53</v>
      </c>
      <c r="H508" s="10">
        <v>3000</v>
      </c>
      <c r="I508" s="6">
        <v>2</v>
      </c>
      <c r="J508" s="6">
        <f>H508*I508</f>
        <v>6000</v>
      </c>
    </row>
    <row r="509" spans="2:10" ht="20.100000000000001" customHeight="1" x14ac:dyDescent="0.25">
      <c r="B509" s="4">
        <v>45002</v>
      </c>
      <c r="C509" s="8" t="str">
        <f>"Ord-03-23-"&amp;TEXT(ROW(C86),"000")</f>
        <v>Ord-03-23-086</v>
      </c>
      <c r="D509" s="6" t="s">
        <v>20</v>
      </c>
      <c r="E509" s="10" t="s">
        <v>35</v>
      </c>
      <c r="F509" s="12" t="s">
        <v>90</v>
      </c>
      <c r="G509" s="10" t="s">
        <v>71</v>
      </c>
      <c r="H509" s="10">
        <v>5500</v>
      </c>
      <c r="I509" s="6">
        <v>3</v>
      </c>
      <c r="J509" s="6">
        <f>H509*I509</f>
        <v>16500</v>
      </c>
    </row>
    <row r="510" spans="2:10" ht="20.100000000000001" customHeight="1" x14ac:dyDescent="0.25">
      <c r="B510" s="4">
        <v>45002</v>
      </c>
      <c r="C510" s="8" t="str">
        <f>"Ord-03-23-"&amp;TEXT(ROW(C87),"000")</f>
        <v>Ord-03-23-087</v>
      </c>
      <c r="D510" s="6" t="s">
        <v>10</v>
      </c>
      <c r="E510" s="10" t="s">
        <v>28</v>
      </c>
      <c r="F510" s="10" t="s">
        <v>28</v>
      </c>
      <c r="G510" s="10" t="s">
        <v>58</v>
      </c>
      <c r="H510" s="10">
        <v>1000</v>
      </c>
      <c r="I510" s="6">
        <v>1</v>
      </c>
      <c r="J510" s="6">
        <f>H510*I510</f>
        <v>1000</v>
      </c>
    </row>
    <row r="511" spans="2:10" ht="20.100000000000001" customHeight="1" x14ac:dyDescent="0.25">
      <c r="B511" s="4">
        <v>45002</v>
      </c>
      <c r="C511" s="8" t="str">
        <f>"Ord-03-23-"&amp;TEXT(ROW(C88),"000")</f>
        <v>Ord-03-23-088</v>
      </c>
      <c r="D511" s="6" t="s">
        <v>23</v>
      </c>
      <c r="E511" s="10" t="s">
        <v>31</v>
      </c>
      <c r="F511" s="10" t="s">
        <v>43</v>
      </c>
      <c r="G511" s="10" t="s">
        <v>66</v>
      </c>
      <c r="H511" s="10">
        <v>4500</v>
      </c>
      <c r="I511" s="6">
        <v>2</v>
      </c>
      <c r="J511" s="6">
        <f>H511*I511</f>
        <v>9000</v>
      </c>
    </row>
    <row r="512" spans="2:10" ht="20.100000000000001" customHeight="1" x14ac:dyDescent="0.25">
      <c r="B512" s="4">
        <v>45002</v>
      </c>
      <c r="C512" s="8" t="str">
        <f>"Ord-03-23-"&amp;TEXT(ROW(C89),"000")</f>
        <v>Ord-03-23-089</v>
      </c>
      <c r="D512" s="6" t="s">
        <v>10</v>
      </c>
      <c r="E512" s="10" t="s">
        <v>31</v>
      </c>
      <c r="F512" s="10" t="s">
        <v>43</v>
      </c>
      <c r="G512" s="10" t="s">
        <v>76</v>
      </c>
      <c r="H512" s="13">
        <v>4800</v>
      </c>
      <c r="I512" s="6">
        <v>4</v>
      </c>
      <c r="J512" s="6">
        <f>H512*I512</f>
        <v>19200</v>
      </c>
    </row>
    <row r="513" spans="2:10" ht="20.100000000000001" customHeight="1" x14ac:dyDescent="0.25">
      <c r="B513" s="4">
        <v>45002</v>
      </c>
      <c r="C513" s="8" t="str">
        <f>"Ord-03-23-"&amp;TEXT(ROW(C90),"000")</f>
        <v>Ord-03-23-090</v>
      </c>
      <c r="D513" s="6" t="s">
        <v>12</v>
      </c>
      <c r="E513" s="10" t="s">
        <v>29</v>
      </c>
      <c r="F513" s="10" t="s">
        <v>40</v>
      </c>
      <c r="G513" s="10" t="s">
        <v>84</v>
      </c>
      <c r="H513" s="10">
        <v>7500</v>
      </c>
      <c r="I513" s="6">
        <v>4</v>
      </c>
      <c r="J513" s="6">
        <f>H513*I513</f>
        <v>30000</v>
      </c>
    </row>
    <row r="514" spans="2:10" ht="20.100000000000001" customHeight="1" x14ac:dyDescent="0.25">
      <c r="B514" s="4">
        <v>45003</v>
      </c>
      <c r="C514" s="8" t="str">
        <f>"Ord-03-23-"&amp;TEXT(ROW(C91),"000")</f>
        <v>Ord-03-23-091</v>
      </c>
      <c r="D514" s="6" t="s">
        <v>7</v>
      </c>
      <c r="E514" s="10" t="s">
        <v>33</v>
      </c>
      <c r="F514" s="10" t="s">
        <v>47</v>
      </c>
      <c r="G514" s="10" t="s">
        <v>65</v>
      </c>
      <c r="H514" s="10">
        <v>25</v>
      </c>
      <c r="I514" s="6">
        <v>400</v>
      </c>
      <c r="J514" s="6">
        <f>H514*I514</f>
        <v>10000</v>
      </c>
    </row>
    <row r="515" spans="2:10" ht="20.100000000000001" customHeight="1" x14ac:dyDescent="0.25">
      <c r="B515" s="4">
        <v>45003</v>
      </c>
      <c r="C515" s="8" t="str">
        <f>"Ord-03-23-"&amp;TEXT(ROW(C92),"000")</f>
        <v>Ord-03-23-092</v>
      </c>
      <c r="D515" s="6" t="s">
        <v>13</v>
      </c>
      <c r="E515" s="10" t="s">
        <v>31</v>
      </c>
      <c r="F515" s="10" t="s">
        <v>52</v>
      </c>
      <c r="G515" s="10" t="s">
        <v>59</v>
      </c>
      <c r="H515" s="10">
        <v>3500</v>
      </c>
      <c r="I515" s="6">
        <v>4</v>
      </c>
      <c r="J515" s="6">
        <f>H515*I515</f>
        <v>14000</v>
      </c>
    </row>
    <row r="516" spans="2:10" ht="20.100000000000001" customHeight="1" x14ac:dyDescent="0.25">
      <c r="B516" s="4">
        <v>45003</v>
      </c>
      <c r="C516" s="8" t="str">
        <f>"Ord-03-23-"&amp;TEXT(ROW(C93),"000")</f>
        <v>Ord-03-23-093</v>
      </c>
      <c r="D516" s="6" t="s">
        <v>10</v>
      </c>
      <c r="E516" s="10" t="s">
        <v>27</v>
      </c>
      <c r="F516" s="10" t="s">
        <v>38</v>
      </c>
      <c r="G516" s="10" t="s">
        <v>54</v>
      </c>
      <c r="H516" s="10">
        <v>5200</v>
      </c>
      <c r="I516" s="6">
        <v>1</v>
      </c>
      <c r="J516" s="6">
        <f>H516*I516</f>
        <v>5200</v>
      </c>
    </row>
    <row r="517" spans="2:10" ht="20.100000000000001" customHeight="1" x14ac:dyDescent="0.25">
      <c r="B517" s="4">
        <v>45003</v>
      </c>
      <c r="C517" s="8" t="str">
        <f>"Ord-03-23-"&amp;TEXT(ROW(C94),"000")</f>
        <v>Ord-03-23-094</v>
      </c>
      <c r="D517" s="6" t="s">
        <v>10</v>
      </c>
      <c r="E517" s="10" t="s">
        <v>27</v>
      </c>
      <c r="F517" s="10" t="s">
        <v>38</v>
      </c>
      <c r="G517" s="10" t="s">
        <v>54</v>
      </c>
      <c r="H517" s="10">
        <v>5200</v>
      </c>
      <c r="I517" s="6">
        <v>4</v>
      </c>
      <c r="J517" s="6">
        <f>H517*I517</f>
        <v>20800</v>
      </c>
    </row>
    <row r="518" spans="2:10" ht="20.100000000000001" customHeight="1" x14ac:dyDescent="0.25">
      <c r="B518" s="4">
        <v>45003</v>
      </c>
      <c r="C518" s="8" t="str">
        <f>"Ord-03-23-"&amp;TEXT(ROW(C95),"000")</f>
        <v>Ord-03-23-095</v>
      </c>
      <c r="D518" s="6" t="s">
        <v>12</v>
      </c>
      <c r="E518" s="10" t="s">
        <v>34</v>
      </c>
      <c r="F518" s="10" t="s">
        <v>49</v>
      </c>
      <c r="G518" s="10" t="s">
        <v>75</v>
      </c>
      <c r="H518" s="10">
        <v>4300</v>
      </c>
      <c r="I518" s="6">
        <v>1</v>
      </c>
      <c r="J518" s="6">
        <f>H518*I518</f>
        <v>4300</v>
      </c>
    </row>
    <row r="519" spans="2:10" ht="20.100000000000001" customHeight="1" x14ac:dyDescent="0.25">
      <c r="B519" s="4">
        <v>45004</v>
      </c>
      <c r="C519" s="8" t="str">
        <f>"Ord-03-23-"&amp;TEXT(ROW(C96),"000")</f>
        <v>Ord-03-23-096</v>
      </c>
      <c r="D519" s="6" t="s">
        <v>10</v>
      </c>
      <c r="E519" s="10" t="s">
        <v>33</v>
      </c>
      <c r="F519" s="10" t="s">
        <v>47</v>
      </c>
      <c r="G519" s="10" t="s">
        <v>65</v>
      </c>
      <c r="H519" s="10">
        <v>25</v>
      </c>
      <c r="I519" s="6">
        <v>200</v>
      </c>
      <c r="J519" s="6">
        <f>H519*I519</f>
        <v>5000</v>
      </c>
    </row>
    <row r="520" spans="2:10" ht="20.100000000000001" customHeight="1" x14ac:dyDescent="0.25">
      <c r="B520" s="4">
        <v>45004</v>
      </c>
      <c r="C520" s="8" t="str">
        <f>"Ord-03-23-"&amp;TEXT(ROW(C97),"000")</f>
        <v>Ord-03-23-097</v>
      </c>
      <c r="D520" s="6" t="s">
        <v>20</v>
      </c>
      <c r="E520" s="10" t="s">
        <v>31</v>
      </c>
      <c r="F520" s="10" t="s">
        <v>52</v>
      </c>
      <c r="G520" s="10" t="s">
        <v>76</v>
      </c>
      <c r="H520" s="10">
        <v>2800</v>
      </c>
      <c r="I520" s="6">
        <v>2</v>
      </c>
      <c r="J520" s="6">
        <f>H520*I520</f>
        <v>5600</v>
      </c>
    </row>
    <row r="521" spans="2:10" ht="20.100000000000001" customHeight="1" x14ac:dyDescent="0.25">
      <c r="B521" s="4">
        <v>45004</v>
      </c>
      <c r="C521" s="8" t="str">
        <f>"Ord-03-23-"&amp;TEXT(ROW(C98),"000")</f>
        <v>Ord-03-23-098</v>
      </c>
      <c r="D521" s="6" t="s">
        <v>18</v>
      </c>
      <c r="E521" s="10" t="s">
        <v>31</v>
      </c>
      <c r="F521" s="10" t="s">
        <v>48</v>
      </c>
      <c r="G521" s="10" t="s">
        <v>82</v>
      </c>
      <c r="H521" s="10">
        <v>8500</v>
      </c>
      <c r="I521" s="6">
        <v>2</v>
      </c>
      <c r="J521" s="6">
        <f>H521*I521</f>
        <v>17000</v>
      </c>
    </row>
    <row r="522" spans="2:10" ht="20.100000000000001" customHeight="1" x14ac:dyDescent="0.25">
      <c r="B522" s="4">
        <v>45004</v>
      </c>
      <c r="C522" s="8" t="str">
        <f>"Ord-03-23-"&amp;TEXT(ROW(C99),"000")</f>
        <v>Ord-03-23-099</v>
      </c>
      <c r="D522" s="6" t="s">
        <v>12</v>
      </c>
      <c r="E522" s="10" t="s">
        <v>27</v>
      </c>
      <c r="F522" s="10" t="s">
        <v>41</v>
      </c>
      <c r="G522" s="10" t="s">
        <v>53</v>
      </c>
      <c r="H522" s="10">
        <v>3000</v>
      </c>
      <c r="I522" s="6">
        <v>3</v>
      </c>
      <c r="J522" s="6">
        <f>H522*I522</f>
        <v>9000</v>
      </c>
    </row>
    <row r="523" spans="2:10" ht="20.100000000000001" customHeight="1" x14ac:dyDescent="0.25">
      <c r="B523" s="4">
        <v>45004</v>
      </c>
      <c r="C523" s="8" t="str">
        <f>"Ord-03-23-"&amp;TEXT(ROW(C100),"000")</f>
        <v>Ord-03-23-100</v>
      </c>
      <c r="D523" s="6" t="s">
        <v>17</v>
      </c>
      <c r="E523" s="10" t="s">
        <v>27</v>
      </c>
      <c r="F523" s="10" t="s">
        <v>41</v>
      </c>
      <c r="G523" s="10" t="s">
        <v>64</v>
      </c>
      <c r="H523" s="10">
        <v>2500</v>
      </c>
      <c r="I523" s="6">
        <v>3</v>
      </c>
      <c r="J523" s="6">
        <f>H523*I523</f>
        <v>7500</v>
      </c>
    </row>
    <row r="524" spans="2:10" ht="20.100000000000001" customHeight="1" x14ac:dyDescent="0.25">
      <c r="B524" s="4">
        <v>45005</v>
      </c>
      <c r="C524" s="8" t="str">
        <f>"Ord-03-23-"&amp;TEXT(ROW(C101),"000")</f>
        <v>Ord-03-23-101</v>
      </c>
      <c r="D524" s="6" t="s">
        <v>17</v>
      </c>
      <c r="E524" s="10" t="s">
        <v>32</v>
      </c>
      <c r="F524" s="10" t="s">
        <v>51</v>
      </c>
      <c r="G524" s="10" t="s">
        <v>72</v>
      </c>
      <c r="H524" s="10">
        <v>2200</v>
      </c>
      <c r="I524" s="6">
        <v>1</v>
      </c>
      <c r="J524" s="6">
        <f>H524*I524</f>
        <v>2200</v>
      </c>
    </row>
    <row r="525" spans="2:10" ht="20.100000000000001" customHeight="1" x14ac:dyDescent="0.25">
      <c r="B525" s="4">
        <v>45005</v>
      </c>
      <c r="C525" s="8" t="str">
        <f>"Ord-03-23-"&amp;TEXT(ROW(C102),"000")</f>
        <v>Ord-03-23-102</v>
      </c>
      <c r="D525" s="6" t="s">
        <v>25</v>
      </c>
      <c r="E525" s="10" t="s">
        <v>33</v>
      </c>
      <c r="F525" s="10" t="s">
        <v>47</v>
      </c>
      <c r="G525" s="10" t="s">
        <v>65</v>
      </c>
      <c r="H525" s="10">
        <v>25</v>
      </c>
      <c r="I525" s="6">
        <v>400</v>
      </c>
      <c r="J525" s="6">
        <f>H525*I525</f>
        <v>10000</v>
      </c>
    </row>
    <row r="526" spans="2:10" ht="20.100000000000001" customHeight="1" x14ac:dyDescent="0.25">
      <c r="B526" s="4">
        <v>45005</v>
      </c>
      <c r="C526" s="8" t="str">
        <f>"Ord-03-23-"&amp;TEXT(ROW(C103),"000")</f>
        <v>Ord-03-23-103</v>
      </c>
      <c r="D526" s="6" t="s">
        <v>14</v>
      </c>
      <c r="E526" s="10" t="s">
        <v>31</v>
      </c>
      <c r="F526" s="10" t="s">
        <v>43</v>
      </c>
      <c r="G526" s="10" t="s">
        <v>67</v>
      </c>
      <c r="H526" s="10">
        <v>14500</v>
      </c>
      <c r="I526" s="6">
        <v>3</v>
      </c>
      <c r="J526" s="6">
        <f>H526*I526</f>
        <v>43500</v>
      </c>
    </row>
    <row r="527" spans="2:10" ht="20.100000000000001" customHeight="1" x14ac:dyDescent="0.25">
      <c r="B527" s="4">
        <v>45005</v>
      </c>
      <c r="C527" s="8" t="str">
        <f>"Ord-03-23-"&amp;TEXT(ROW(C104),"000")</f>
        <v>Ord-03-23-104</v>
      </c>
      <c r="D527" s="6" t="s">
        <v>24</v>
      </c>
      <c r="E527" s="10" t="s">
        <v>29</v>
      </c>
      <c r="F527" s="10" t="s">
        <v>39</v>
      </c>
      <c r="G527" s="10" t="s">
        <v>60</v>
      </c>
      <c r="H527" s="10">
        <v>1500</v>
      </c>
      <c r="I527" s="6">
        <v>3</v>
      </c>
      <c r="J527" s="6">
        <f>H527*I527</f>
        <v>4500</v>
      </c>
    </row>
    <row r="528" spans="2:10" ht="20.100000000000001" customHeight="1" x14ac:dyDescent="0.25">
      <c r="B528" s="4">
        <v>45005</v>
      </c>
      <c r="C528" s="8" t="str">
        <f>"Ord-03-23-"&amp;TEXT(ROW(C105),"000")</f>
        <v>Ord-03-23-105</v>
      </c>
      <c r="D528" s="6" t="s">
        <v>9</v>
      </c>
      <c r="E528" s="10" t="s">
        <v>27</v>
      </c>
      <c r="F528" s="10" t="s">
        <v>37</v>
      </c>
      <c r="G528" s="10" t="s">
        <v>54</v>
      </c>
      <c r="H528" s="10">
        <v>5000</v>
      </c>
      <c r="I528" s="6">
        <v>1</v>
      </c>
      <c r="J528" s="6">
        <f>H528*I528</f>
        <v>5000</v>
      </c>
    </row>
    <row r="529" spans="2:10" ht="20.100000000000001" customHeight="1" x14ac:dyDescent="0.25">
      <c r="B529" s="4">
        <v>45006</v>
      </c>
      <c r="C529" s="8" t="str">
        <f>"Ord-03-23-"&amp;TEXT(ROW(C106),"000")</f>
        <v>Ord-03-23-106</v>
      </c>
      <c r="D529" s="6" t="s">
        <v>15</v>
      </c>
      <c r="E529" s="10" t="s">
        <v>33</v>
      </c>
      <c r="F529" s="10" t="s">
        <v>46</v>
      </c>
      <c r="G529" s="10" t="s">
        <v>65</v>
      </c>
      <c r="H529" s="10">
        <v>15</v>
      </c>
      <c r="I529" s="6">
        <v>350</v>
      </c>
      <c r="J529" s="6">
        <f>H529*I529</f>
        <v>5250</v>
      </c>
    </row>
    <row r="530" spans="2:10" ht="20.100000000000001" customHeight="1" x14ac:dyDescent="0.25">
      <c r="B530" s="4">
        <v>45006</v>
      </c>
      <c r="C530" s="8" t="str">
        <f>"Ord-03-23-"&amp;TEXT(ROW(C107),"000")</f>
        <v>Ord-03-23-107</v>
      </c>
      <c r="D530" s="6" t="s">
        <v>22</v>
      </c>
      <c r="E530" s="10" t="s">
        <v>31</v>
      </c>
      <c r="F530" s="10" t="s">
        <v>45</v>
      </c>
      <c r="G530" s="10" t="s">
        <v>67</v>
      </c>
      <c r="H530" s="10">
        <v>8500</v>
      </c>
      <c r="I530" s="6">
        <v>2</v>
      </c>
      <c r="J530" s="6">
        <f>H530*I530</f>
        <v>17000</v>
      </c>
    </row>
    <row r="531" spans="2:10" ht="20.100000000000001" customHeight="1" x14ac:dyDescent="0.25">
      <c r="B531" s="4">
        <v>45006</v>
      </c>
      <c r="C531" s="8" t="str">
        <f>"Ord-03-23-"&amp;TEXT(ROW(C108),"000")</f>
        <v>Ord-03-23-108</v>
      </c>
      <c r="D531" s="6" t="s">
        <v>24</v>
      </c>
      <c r="E531" s="10" t="s">
        <v>31</v>
      </c>
      <c r="F531" s="10" t="s">
        <v>48</v>
      </c>
      <c r="G531" s="10" t="s">
        <v>66</v>
      </c>
      <c r="H531" s="10">
        <v>3500</v>
      </c>
      <c r="I531" s="6">
        <v>3</v>
      </c>
      <c r="J531" s="6">
        <f>H531*I531</f>
        <v>10500</v>
      </c>
    </row>
    <row r="532" spans="2:10" ht="20.100000000000001" customHeight="1" x14ac:dyDescent="0.25">
      <c r="B532" s="4">
        <v>45006</v>
      </c>
      <c r="C532" s="8" t="str">
        <f>"Ord-03-23-"&amp;TEXT(ROW(C109),"000")</f>
        <v>Ord-03-23-109</v>
      </c>
      <c r="D532" s="6" t="s">
        <v>23</v>
      </c>
      <c r="E532" s="10" t="s">
        <v>36</v>
      </c>
      <c r="F532" s="10" t="s">
        <v>36</v>
      </c>
      <c r="G532" s="10" t="s">
        <v>41</v>
      </c>
      <c r="H532" s="10">
        <v>2000</v>
      </c>
      <c r="I532" s="6">
        <v>3</v>
      </c>
      <c r="J532" s="6">
        <f>H532*I532</f>
        <v>6000</v>
      </c>
    </row>
    <row r="533" spans="2:10" ht="20.100000000000001" customHeight="1" x14ac:dyDescent="0.25">
      <c r="B533" s="4">
        <v>45006</v>
      </c>
      <c r="C533" s="8" t="str">
        <f>"Ord-03-23-"&amp;TEXT(ROW(C110),"000")</f>
        <v>Ord-03-23-110</v>
      </c>
      <c r="D533" s="6" t="s">
        <v>13</v>
      </c>
      <c r="E533" s="10" t="s">
        <v>27</v>
      </c>
      <c r="F533" s="10" t="s">
        <v>41</v>
      </c>
      <c r="G533" s="10" t="s">
        <v>54</v>
      </c>
      <c r="H533" s="10">
        <v>2800</v>
      </c>
      <c r="I533" s="6">
        <v>2</v>
      </c>
      <c r="J533" s="6">
        <f>H533*I533</f>
        <v>5600</v>
      </c>
    </row>
    <row r="534" spans="2:10" ht="20.100000000000001" customHeight="1" x14ac:dyDescent="0.25">
      <c r="B534" s="4">
        <v>45007</v>
      </c>
      <c r="C534" s="8" t="str">
        <f>"Ord-03-23-"&amp;TEXT(ROW(C111),"000")</f>
        <v>Ord-03-23-111</v>
      </c>
      <c r="D534" s="6" t="s">
        <v>17</v>
      </c>
      <c r="E534" s="10" t="s">
        <v>36</v>
      </c>
      <c r="F534" s="10" t="s">
        <v>36</v>
      </c>
      <c r="G534" s="10" t="s">
        <v>41</v>
      </c>
      <c r="H534" s="10">
        <v>2000</v>
      </c>
      <c r="I534" s="6">
        <v>2</v>
      </c>
      <c r="J534" s="6">
        <f>H534*I534</f>
        <v>4000</v>
      </c>
    </row>
    <row r="535" spans="2:10" ht="20.100000000000001" customHeight="1" x14ac:dyDescent="0.25">
      <c r="B535" s="4">
        <v>45007</v>
      </c>
      <c r="C535" s="8" t="str">
        <f>"Ord-03-23-"&amp;TEXT(ROW(C112),"000")</f>
        <v>Ord-03-23-112</v>
      </c>
      <c r="D535" s="6" t="s">
        <v>10</v>
      </c>
      <c r="E535" s="10" t="s">
        <v>29</v>
      </c>
      <c r="F535" s="10" t="s">
        <v>40</v>
      </c>
      <c r="G535" s="10" t="s">
        <v>84</v>
      </c>
      <c r="H535" s="10">
        <v>7500</v>
      </c>
      <c r="I535" s="6">
        <v>2</v>
      </c>
      <c r="J535" s="6">
        <f>H535*I535</f>
        <v>15000</v>
      </c>
    </row>
    <row r="536" spans="2:10" ht="20.100000000000001" customHeight="1" x14ac:dyDescent="0.25">
      <c r="B536" s="4">
        <v>45007</v>
      </c>
      <c r="C536" s="8" t="str">
        <f>"Ord-03-23-"&amp;TEXT(ROW(C113),"000")</f>
        <v>Ord-03-23-113</v>
      </c>
      <c r="D536" s="6" t="s">
        <v>21</v>
      </c>
      <c r="E536" s="10" t="s">
        <v>29</v>
      </c>
      <c r="F536" s="10" t="s">
        <v>39</v>
      </c>
      <c r="G536" s="10" t="s">
        <v>60</v>
      </c>
      <c r="H536" s="10">
        <v>1500</v>
      </c>
      <c r="I536" s="6">
        <v>2</v>
      </c>
      <c r="J536" s="6">
        <f>H536*I536</f>
        <v>3000</v>
      </c>
    </row>
    <row r="537" spans="2:10" ht="20.100000000000001" customHeight="1" x14ac:dyDescent="0.25">
      <c r="B537" s="4">
        <v>45007</v>
      </c>
      <c r="C537" s="8" t="str">
        <f>"Ord-03-23-"&amp;TEXT(ROW(C114),"000")</f>
        <v>Ord-03-23-114</v>
      </c>
      <c r="D537" s="6" t="s">
        <v>10</v>
      </c>
      <c r="E537" s="10" t="s">
        <v>29</v>
      </c>
      <c r="F537" s="10" t="s">
        <v>39</v>
      </c>
      <c r="G537" s="10" t="s">
        <v>60</v>
      </c>
      <c r="H537" s="10">
        <v>1500</v>
      </c>
      <c r="I537" s="6">
        <v>4</v>
      </c>
      <c r="J537" s="6">
        <f>H537*I537</f>
        <v>6000</v>
      </c>
    </row>
    <row r="538" spans="2:10" ht="20.100000000000001" customHeight="1" x14ac:dyDescent="0.25">
      <c r="B538" s="4">
        <v>45007</v>
      </c>
      <c r="C538" s="8" t="str">
        <f>"Ord-03-23-"&amp;TEXT(ROW(C115),"000")</f>
        <v>Ord-03-23-115</v>
      </c>
      <c r="D538" s="6" t="s">
        <v>9</v>
      </c>
      <c r="E538" s="10" t="s">
        <v>27</v>
      </c>
      <c r="F538" s="10" t="s">
        <v>50</v>
      </c>
      <c r="G538" s="10" t="s">
        <v>54</v>
      </c>
      <c r="H538" s="10">
        <v>3200</v>
      </c>
      <c r="I538" s="6">
        <v>2</v>
      </c>
      <c r="J538" s="6">
        <f>H538*I538</f>
        <v>6400</v>
      </c>
    </row>
    <row r="539" spans="2:10" ht="20.100000000000001" customHeight="1" x14ac:dyDescent="0.25">
      <c r="B539" s="4">
        <v>45008</v>
      </c>
      <c r="C539" s="8" t="str">
        <f>"Ord-03-23-"&amp;TEXT(ROW(C116),"000")</f>
        <v>Ord-03-23-116</v>
      </c>
      <c r="D539" s="6" t="s">
        <v>15</v>
      </c>
      <c r="E539" s="10" t="s">
        <v>33</v>
      </c>
      <c r="F539" s="10" t="s">
        <v>46</v>
      </c>
      <c r="G539" s="10" t="s">
        <v>65</v>
      </c>
      <c r="H539" s="10">
        <v>15</v>
      </c>
      <c r="I539" s="6">
        <v>350</v>
      </c>
      <c r="J539" s="6">
        <f>H539*I539</f>
        <v>5250</v>
      </c>
    </row>
    <row r="540" spans="2:10" ht="20.100000000000001" customHeight="1" x14ac:dyDescent="0.25">
      <c r="B540" s="4">
        <v>45008</v>
      </c>
      <c r="C540" s="8" t="str">
        <f>"Ord-03-23-"&amp;TEXT(ROW(C117),"000")</f>
        <v>Ord-03-23-117</v>
      </c>
      <c r="D540" s="6" t="s">
        <v>20</v>
      </c>
      <c r="E540" s="10" t="s">
        <v>31</v>
      </c>
      <c r="F540" s="10" t="s">
        <v>43</v>
      </c>
      <c r="G540" s="10" t="s">
        <v>61</v>
      </c>
      <c r="H540" s="10">
        <v>18000</v>
      </c>
      <c r="I540" s="6">
        <v>1</v>
      </c>
      <c r="J540" s="6">
        <f>H540*I540</f>
        <v>18000</v>
      </c>
    </row>
    <row r="541" spans="2:10" ht="20.100000000000001" customHeight="1" x14ac:dyDescent="0.25">
      <c r="B541" s="4">
        <v>45008</v>
      </c>
      <c r="C541" s="8" t="str">
        <f>"Ord-03-23-"&amp;TEXT(ROW(C118),"000")</f>
        <v>Ord-03-23-118</v>
      </c>
      <c r="D541" s="6" t="s">
        <v>25</v>
      </c>
      <c r="E541" s="10" t="s">
        <v>31</v>
      </c>
      <c r="F541" s="10" t="s">
        <v>48</v>
      </c>
      <c r="G541" s="10" t="s">
        <v>59</v>
      </c>
      <c r="H541" s="10">
        <v>4000</v>
      </c>
      <c r="I541" s="6">
        <v>1</v>
      </c>
      <c r="J541" s="6">
        <f>H541*I541</f>
        <v>4000</v>
      </c>
    </row>
    <row r="542" spans="2:10" ht="20.100000000000001" customHeight="1" x14ac:dyDescent="0.25">
      <c r="B542" s="4">
        <v>45008</v>
      </c>
      <c r="C542" s="8" t="str">
        <f>"Ord-03-23-"&amp;TEXT(ROW(C119),"000")</f>
        <v>Ord-03-23-119</v>
      </c>
      <c r="D542" s="6" t="s">
        <v>25</v>
      </c>
      <c r="E542" s="10" t="s">
        <v>29</v>
      </c>
      <c r="F542" s="10" t="s">
        <v>39</v>
      </c>
      <c r="G542" s="10" t="s">
        <v>60</v>
      </c>
      <c r="H542" s="10">
        <v>1500</v>
      </c>
      <c r="I542" s="6">
        <v>3</v>
      </c>
      <c r="J542" s="6">
        <f>H542*I542</f>
        <v>4500</v>
      </c>
    </row>
    <row r="543" spans="2:10" ht="20.100000000000001" customHeight="1" x14ac:dyDescent="0.25">
      <c r="B543" s="4">
        <v>45008</v>
      </c>
      <c r="C543" s="8" t="str">
        <f>"Ord-03-23-"&amp;TEXT(ROW(C120),"000")</f>
        <v>Ord-03-23-120</v>
      </c>
      <c r="D543" s="6" t="s">
        <v>16</v>
      </c>
      <c r="E543" s="10" t="s">
        <v>27</v>
      </c>
      <c r="F543" s="10" t="s">
        <v>41</v>
      </c>
      <c r="G543" s="10" t="s">
        <v>54</v>
      </c>
      <c r="H543" s="10">
        <v>2800</v>
      </c>
      <c r="I543" s="6">
        <v>3</v>
      </c>
      <c r="J543" s="6">
        <f>H543*I543</f>
        <v>8400</v>
      </c>
    </row>
    <row r="544" spans="2:10" ht="20.100000000000001" customHeight="1" x14ac:dyDescent="0.25">
      <c r="B544" s="4">
        <v>45009</v>
      </c>
      <c r="C544" s="8" t="str">
        <f>"Ord-03-23-"&amp;TEXT(ROW(C121),"000")</f>
        <v>Ord-03-23-121</v>
      </c>
      <c r="D544" s="6" t="s">
        <v>10</v>
      </c>
      <c r="E544" s="10" t="s">
        <v>31</v>
      </c>
      <c r="F544" s="10" t="s">
        <v>43</v>
      </c>
      <c r="G544" s="10" t="s">
        <v>69</v>
      </c>
      <c r="H544" s="10">
        <v>4900</v>
      </c>
      <c r="I544" s="6">
        <v>2</v>
      </c>
      <c r="J544" s="6">
        <f>H544*I544</f>
        <v>9800</v>
      </c>
    </row>
    <row r="545" spans="2:10" ht="20.100000000000001" customHeight="1" x14ac:dyDescent="0.25">
      <c r="B545" s="4">
        <v>45009</v>
      </c>
      <c r="C545" s="8" t="str">
        <f>"Ord-03-23-"&amp;TEXT(ROW(C122),"000")</f>
        <v>Ord-03-23-122</v>
      </c>
      <c r="D545" s="6" t="s">
        <v>22</v>
      </c>
      <c r="E545" s="10" t="s">
        <v>27</v>
      </c>
      <c r="F545" s="10" t="s">
        <v>42</v>
      </c>
      <c r="G545" s="10" t="s">
        <v>42</v>
      </c>
      <c r="H545" s="10">
        <v>2500</v>
      </c>
      <c r="I545" s="6">
        <v>4</v>
      </c>
      <c r="J545" s="6">
        <f>H545*I545</f>
        <v>10000</v>
      </c>
    </row>
    <row r="546" spans="2:10" ht="20.100000000000001" customHeight="1" x14ac:dyDescent="0.25">
      <c r="B546" s="4">
        <v>45009</v>
      </c>
      <c r="C546" s="8" t="str">
        <f>"Ord-03-23-"&amp;TEXT(ROW(C123),"000")</f>
        <v>Ord-03-23-123</v>
      </c>
      <c r="D546" s="6" t="s">
        <v>12</v>
      </c>
      <c r="E546" s="10" t="s">
        <v>27</v>
      </c>
      <c r="F546" s="10" t="s">
        <v>50</v>
      </c>
      <c r="G546" s="10" t="s">
        <v>54</v>
      </c>
      <c r="H546" s="10">
        <v>3200</v>
      </c>
      <c r="I546" s="6">
        <v>5</v>
      </c>
      <c r="J546" s="6">
        <f>H546*I546</f>
        <v>16000</v>
      </c>
    </row>
    <row r="547" spans="2:10" ht="20.100000000000001" customHeight="1" x14ac:dyDescent="0.25">
      <c r="B547" s="4">
        <v>45009</v>
      </c>
      <c r="C547" s="8" t="str">
        <f>"Ord-03-23-"&amp;TEXT(ROW(C124),"000")</f>
        <v>Ord-03-23-124</v>
      </c>
      <c r="D547" s="6" t="s">
        <v>25</v>
      </c>
      <c r="E547" s="10" t="s">
        <v>27</v>
      </c>
      <c r="F547" s="10" t="s">
        <v>50</v>
      </c>
      <c r="G547" s="10" t="s">
        <v>64</v>
      </c>
      <c r="H547" s="10">
        <v>3000</v>
      </c>
      <c r="I547" s="6">
        <v>3</v>
      </c>
      <c r="J547" s="6">
        <f>H547*I547</f>
        <v>9000</v>
      </c>
    </row>
    <row r="548" spans="2:10" ht="20.100000000000001" customHeight="1" x14ac:dyDescent="0.25">
      <c r="B548" s="4">
        <v>45009</v>
      </c>
      <c r="C548" s="8" t="str">
        <f>"Ord-03-23-"&amp;TEXT(ROW(C125),"000")</f>
        <v>Ord-03-23-125</v>
      </c>
      <c r="D548" s="6" t="s">
        <v>9</v>
      </c>
      <c r="E548" s="10" t="s">
        <v>34</v>
      </c>
      <c r="F548" s="10" t="s">
        <v>49</v>
      </c>
      <c r="G548" s="10" t="s">
        <v>75</v>
      </c>
      <c r="H548" s="10">
        <v>4300</v>
      </c>
      <c r="I548" s="6">
        <v>1</v>
      </c>
      <c r="J548" s="6">
        <f>H548*I548</f>
        <v>4300</v>
      </c>
    </row>
    <row r="549" spans="2:10" ht="20.100000000000001" customHeight="1" x14ac:dyDescent="0.25">
      <c r="B549" s="4">
        <v>45010</v>
      </c>
      <c r="C549" s="8" t="str">
        <f>"Ord-03-23-"&amp;TEXT(ROW(C126),"000")</f>
        <v>Ord-03-23-126</v>
      </c>
      <c r="D549" s="6" t="s">
        <v>23</v>
      </c>
      <c r="E549" s="10" t="s">
        <v>32</v>
      </c>
      <c r="F549" s="10" t="s">
        <v>51</v>
      </c>
      <c r="G549" s="10" t="s">
        <v>72</v>
      </c>
      <c r="H549" s="10">
        <v>2200</v>
      </c>
      <c r="I549" s="6">
        <v>5</v>
      </c>
      <c r="J549" s="6">
        <f>H549*I549</f>
        <v>11000</v>
      </c>
    </row>
    <row r="550" spans="2:10" ht="20.100000000000001" customHeight="1" x14ac:dyDescent="0.25">
      <c r="B550" s="4">
        <v>45010</v>
      </c>
      <c r="C550" s="8" t="str">
        <f>"Ord-03-23-"&amp;TEXT(ROW(C127),"000")</f>
        <v>Ord-03-23-127</v>
      </c>
      <c r="D550" s="6" t="s">
        <v>17</v>
      </c>
      <c r="E550" s="10" t="s">
        <v>33</v>
      </c>
      <c r="F550" s="10" t="s">
        <v>46</v>
      </c>
      <c r="G550" s="10" t="s">
        <v>65</v>
      </c>
      <c r="H550" s="10">
        <v>15</v>
      </c>
      <c r="I550" s="6">
        <v>120</v>
      </c>
      <c r="J550" s="6">
        <f>H550*I550</f>
        <v>1800</v>
      </c>
    </row>
    <row r="551" spans="2:10" ht="20.100000000000001" customHeight="1" x14ac:dyDescent="0.25">
      <c r="B551" s="4">
        <v>45010</v>
      </c>
      <c r="C551" s="8" t="str">
        <f>"Ord-03-23-"&amp;TEXT(ROW(C128),"000")</f>
        <v>Ord-03-23-128</v>
      </c>
      <c r="D551" s="6" t="s">
        <v>26</v>
      </c>
      <c r="E551" s="10" t="s">
        <v>31</v>
      </c>
      <c r="F551" s="10" t="s">
        <v>48</v>
      </c>
      <c r="G551" s="10" t="s">
        <v>63</v>
      </c>
      <c r="H551" s="10">
        <v>3000</v>
      </c>
      <c r="I551" s="6">
        <v>1</v>
      </c>
      <c r="J551" s="6">
        <f>H551*I551</f>
        <v>3000</v>
      </c>
    </row>
    <row r="552" spans="2:10" ht="20.100000000000001" customHeight="1" x14ac:dyDescent="0.25">
      <c r="B552" s="4">
        <v>45010</v>
      </c>
      <c r="C552" s="8" t="str">
        <f>"Ord-03-23-"&amp;TEXT(ROW(C129),"000")</f>
        <v>Ord-03-23-129</v>
      </c>
      <c r="D552" s="6" t="s">
        <v>26</v>
      </c>
      <c r="E552" s="10" t="s">
        <v>27</v>
      </c>
      <c r="F552" s="10" t="s">
        <v>50</v>
      </c>
      <c r="G552" s="10" t="s">
        <v>53</v>
      </c>
      <c r="H552" s="10">
        <v>3500</v>
      </c>
      <c r="I552" s="6">
        <v>5</v>
      </c>
      <c r="J552" s="6">
        <f>H552*I552</f>
        <v>17500</v>
      </c>
    </row>
    <row r="553" spans="2:10" ht="20.100000000000001" customHeight="1" x14ac:dyDescent="0.25">
      <c r="B553" s="4">
        <v>45010</v>
      </c>
      <c r="C553" s="8" t="str">
        <f>"Ord-03-23-"&amp;TEXT(ROW(C130),"000")</f>
        <v>Ord-03-23-130</v>
      </c>
      <c r="D553" s="6" t="s">
        <v>7</v>
      </c>
      <c r="E553" s="10" t="s">
        <v>27</v>
      </c>
      <c r="F553" s="10" t="s">
        <v>41</v>
      </c>
      <c r="G553" s="10" t="s">
        <v>64</v>
      </c>
      <c r="H553" s="10">
        <v>2500</v>
      </c>
      <c r="I553" s="6">
        <v>1</v>
      </c>
      <c r="J553" s="6">
        <f>H553*I553</f>
        <v>2500</v>
      </c>
    </row>
    <row r="554" spans="2:10" ht="20.100000000000001" customHeight="1" x14ac:dyDescent="0.25">
      <c r="B554" s="4">
        <v>45011</v>
      </c>
      <c r="C554" s="8" t="str">
        <f>"Ord-03-23-"&amp;TEXT(ROW(C131),"000")</f>
        <v>Ord-03-23-131</v>
      </c>
      <c r="D554" s="6" t="s">
        <v>8</v>
      </c>
      <c r="E554" s="10" t="s">
        <v>32</v>
      </c>
      <c r="F554" s="10" t="s">
        <v>51</v>
      </c>
      <c r="G554" s="10" t="s">
        <v>80</v>
      </c>
      <c r="H554" s="10">
        <v>5500</v>
      </c>
      <c r="I554" s="6">
        <v>5</v>
      </c>
      <c r="J554" s="6">
        <f>H554*I554</f>
        <v>27500</v>
      </c>
    </row>
    <row r="555" spans="2:10" ht="20.100000000000001" customHeight="1" x14ac:dyDescent="0.25">
      <c r="B555" s="4">
        <v>45011</v>
      </c>
      <c r="C555" s="8" t="str">
        <f>"Ord-03-23-"&amp;TEXT(ROW(C132),"000")</f>
        <v>Ord-03-23-132</v>
      </c>
      <c r="D555" s="6" t="s">
        <v>11</v>
      </c>
      <c r="E555" s="10" t="s">
        <v>31</v>
      </c>
      <c r="F555" s="10" t="s">
        <v>52</v>
      </c>
      <c r="G555" s="10" t="s">
        <v>59</v>
      </c>
      <c r="H555" s="10">
        <v>3500</v>
      </c>
      <c r="I555" s="6">
        <v>1</v>
      </c>
      <c r="J555" s="6">
        <f>H555*I555</f>
        <v>3500</v>
      </c>
    </row>
    <row r="556" spans="2:10" ht="20.100000000000001" customHeight="1" x14ac:dyDescent="0.25">
      <c r="B556" s="4">
        <v>45011</v>
      </c>
      <c r="C556" s="8" t="str">
        <f>"Ord-03-23-"&amp;TEXT(ROW(C133),"000")</f>
        <v>Ord-03-23-133</v>
      </c>
      <c r="D556" s="6" t="s">
        <v>18</v>
      </c>
      <c r="E556" s="10" t="s">
        <v>36</v>
      </c>
      <c r="F556" s="10" t="s">
        <v>36</v>
      </c>
      <c r="G556" s="10" t="s">
        <v>85</v>
      </c>
      <c r="H556" s="10">
        <v>2200</v>
      </c>
      <c r="I556" s="6">
        <v>5</v>
      </c>
      <c r="J556" s="6">
        <f>H556*I556</f>
        <v>11000</v>
      </c>
    </row>
    <row r="557" spans="2:10" ht="20.100000000000001" customHeight="1" x14ac:dyDescent="0.25">
      <c r="B557" s="4">
        <v>45011</v>
      </c>
      <c r="C557" s="8" t="str">
        <f>"Ord-03-23-"&amp;TEXT(ROW(C134),"000")</f>
        <v>Ord-03-23-134</v>
      </c>
      <c r="D557" s="6" t="s">
        <v>25</v>
      </c>
      <c r="E557" s="10" t="s">
        <v>29</v>
      </c>
      <c r="F557" s="10" t="s">
        <v>39</v>
      </c>
      <c r="G557" s="10" t="s">
        <v>56</v>
      </c>
      <c r="H557" s="10">
        <v>2500</v>
      </c>
      <c r="I557" s="6">
        <v>1</v>
      </c>
      <c r="J557" s="6">
        <f>H557*I557</f>
        <v>2500</v>
      </c>
    </row>
    <row r="558" spans="2:10" ht="20.100000000000001" customHeight="1" x14ac:dyDescent="0.25">
      <c r="B558" s="4">
        <v>45011</v>
      </c>
      <c r="C558" s="8" t="str">
        <f>"Ord-03-23-"&amp;TEXT(ROW(C135),"000")</f>
        <v>Ord-03-23-135</v>
      </c>
      <c r="D558" s="6" t="s">
        <v>8</v>
      </c>
      <c r="E558" s="10" t="s">
        <v>30</v>
      </c>
      <c r="F558" s="10" t="s">
        <v>90</v>
      </c>
      <c r="G558" s="10" t="s">
        <v>86</v>
      </c>
      <c r="H558" s="10">
        <v>7500</v>
      </c>
      <c r="I558" s="6">
        <v>3</v>
      </c>
      <c r="J558" s="6">
        <f>H558*I558</f>
        <v>22500</v>
      </c>
    </row>
    <row r="559" spans="2:10" ht="20.100000000000001" customHeight="1" x14ac:dyDescent="0.25">
      <c r="B559" s="4">
        <v>45012</v>
      </c>
      <c r="C559" s="8" t="str">
        <f>"Ord-03-23-"&amp;TEXT(ROW(C136),"000")</f>
        <v>Ord-03-23-136</v>
      </c>
      <c r="D559" s="6" t="s">
        <v>25</v>
      </c>
      <c r="E559" s="10" t="s">
        <v>31</v>
      </c>
      <c r="F559" s="10" t="s">
        <v>45</v>
      </c>
      <c r="G559" s="10" t="s">
        <v>59</v>
      </c>
      <c r="H559" s="10">
        <v>4000</v>
      </c>
      <c r="I559" s="6">
        <v>3</v>
      </c>
      <c r="J559" s="6">
        <f>H559*I559</f>
        <v>12000</v>
      </c>
    </row>
    <row r="560" spans="2:10" ht="20.100000000000001" customHeight="1" x14ac:dyDescent="0.25">
      <c r="B560" s="4">
        <v>45012</v>
      </c>
      <c r="C560" s="8" t="str">
        <f>"Ord-03-23-"&amp;TEXT(ROW(C137),"000")</f>
        <v>Ord-03-23-137</v>
      </c>
      <c r="D560" s="6" t="s">
        <v>10</v>
      </c>
      <c r="E560" s="10" t="s">
        <v>31</v>
      </c>
      <c r="F560" s="10" t="s">
        <v>52</v>
      </c>
      <c r="G560" s="10" t="s">
        <v>63</v>
      </c>
      <c r="H560" s="10">
        <v>2800</v>
      </c>
      <c r="I560" s="6">
        <v>2</v>
      </c>
      <c r="J560" s="6">
        <f>H560*I560</f>
        <v>5600</v>
      </c>
    </row>
    <row r="561" spans="2:10" ht="20.100000000000001" customHeight="1" x14ac:dyDescent="0.25">
      <c r="B561" s="4">
        <v>45012</v>
      </c>
      <c r="C561" s="8" t="str">
        <f>"Ord-03-23-"&amp;TEXT(ROW(C138),"000")</f>
        <v>Ord-03-23-138</v>
      </c>
      <c r="D561" s="6" t="s">
        <v>25</v>
      </c>
      <c r="E561" s="10" t="s">
        <v>27</v>
      </c>
      <c r="F561" s="10" t="s">
        <v>42</v>
      </c>
      <c r="G561" s="10" t="s">
        <v>42</v>
      </c>
      <c r="H561" s="10">
        <v>2500</v>
      </c>
      <c r="I561" s="6">
        <v>4</v>
      </c>
      <c r="J561" s="6">
        <f>H561*I561</f>
        <v>10000</v>
      </c>
    </row>
    <row r="562" spans="2:10" ht="20.100000000000001" customHeight="1" x14ac:dyDescent="0.25">
      <c r="B562" s="4">
        <v>45012</v>
      </c>
      <c r="C562" s="8" t="str">
        <f>"Ord-03-23-"&amp;TEXT(ROW(C139),"000")</f>
        <v>Ord-03-23-139</v>
      </c>
      <c r="D562" s="6" t="s">
        <v>20</v>
      </c>
      <c r="E562" s="10" t="s">
        <v>27</v>
      </c>
      <c r="F562" s="10" t="s">
        <v>50</v>
      </c>
      <c r="G562" s="10" t="s">
        <v>54</v>
      </c>
      <c r="H562" s="10">
        <v>3200</v>
      </c>
      <c r="I562" s="6">
        <v>3</v>
      </c>
      <c r="J562" s="6">
        <f>H562*I562</f>
        <v>9600</v>
      </c>
    </row>
    <row r="563" spans="2:10" ht="20.100000000000001" customHeight="1" x14ac:dyDescent="0.25">
      <c r="B563" s="4">
        <v>45012</v>
      </c>
      <c r="C563" s="8" t="str">
        <f>"Ord-03-23-"&amp;TEXT(ROW(C140),"000")</f>
        <v>Ord-03-23-140</v>
      </c>
      <c r="D563" s="6" t="s">
        <v>17</v>
      </c>
      <c r="E563" s="10" t="s">
        <v>27</v>
      </c>
      <c r="F563" s="10" t="s">
        <v>50</v>
      </c>
      <c r="G563" s="10" t="s">
        <v>54</v>
      </c>
      <c r="H563" s="10">
        <v>3200</v>
      </c>
      <c r="I563" s="6">
        <v>4</v>
      </c>
      <c r="J563" s="6">
        <f>H563*I563</f>
        <v>12800</v>
      </c>
    </row>
    <row r="564" spans="2:10" ht="20.100000000000001" customHeight="1" x14ac:dyDescent="0.25">
      <c r="B564" s="4">
        <v>45013</v>
      </c>
      <c r="C564" s="8" t="str">
        <f>"Ord-03-23-"&amp;TEXT(ROW(C141),"000")</f>
        <v>Ord-03-23-141</v>
      </c>
      <c r="D564" s="6" t="s">
        <v>10</v>
      </c>
      <c r="E564" s="10" t="s">
        <v>32</v>
      </c>
      <c r="F564" s="10" t="s">
        <v>44</v>
      </c>
      <c r="G564" s="10" t="s">
        <v>62</v>
      </c>
      <c r="H564" s="10">
        <v>1200</v>
      </c>
      <c r="I564" s="6">
        <v>4</v>
      </c>
      <c r="J564" s="6">
        <f>H564*I564</f>
        <v>4800</v>
      </c>
    </row>
    <row r="565" spans="2:10" ht="20.100000000000001" customHeight="1" x14ac:dyDescent="0.25">
      <c r="B565" s="4">
        <v>45013</v>
      </c>
      <c r="C565" s="8" t="str">
        <f>"Ord-03-23-"&amp;TEXT(ROW(C142),"000")</f>
        <v>Ord-03-23-142</v>
      </c>
      <c r="D565" s="6" t="s">
        <v>18</v>
      </c>
      <c r="E565" s="10" t="s">
        <v>31</v>
      </c>
      <c r="F565" s="10" t="s">
        <v>52</v>
      </c>
      <c r="G565" s="10" t="s">
        <v>59</v>
      </c>
      <c r="H565" s="10">
        <v>3500</v>
      </c>
      <c r="I565" s="6">
        <v>5</v>
      </c>
      <c r="J565" s="6">
        <f>H565*I565</f>
        <v>17500</v>
      </c>
    </row>
    <row r="566" spans="2:10" ht="20.100000000000001" customHeight="1" x14ac:dyDescent="0.25">
      <c r="B566" s="4">
        <v>45013</v>
      </c>
      <c r="C566" s="8" t="str">
        <f>"Ord-03-23-"&amp;TEXT(ROW(C143),"000")</f>
        <v>Ord-03-23-143</v>
      </c>
      <c r="D566" s="6" t="s">
        <v>10</v>
      </c>
      <c r="E566" s="10" t="s">
        <v>31</v>
      </c>
      <c r="F566" s="10" t="s">
        <v>48</v>
      </c>
      <c r="G566" s="10" t="s">
        <v>73</v>
      </c>
      <c r="H566" s="10">
        <v>1600</v>
      </c>
      <c r="I566" s="6">
        <v>4</v>
      </c>
      <c r="J566" s="6">
        <f>H566*I566</f>
        <v>6400</v>
      </c>
    </row>
    <row r="567" spans="2:10" ht="20.100000000000001" customHeight="1" x14ac:dyDescent="0.25">
      <c r="B567" s="4">
        <v>45013</v>
      </c>
      <c r="C567" s="8" t="str">
        <f>"Ord-03-23-"&amp;TEXT(ROW(C144),"000")</f>
        <v>Ord-03-23-144</v>
      </c>
      <c r="D567" s="6" t="s">
        <v>11</v>
      </c>
      <c r="E567" s="10" t="s">
        <v>36</v>
      </c>
      <c r="F567" s="10" t="s">
        <v>36</v>
      </c>
      <c r="G567" s="10" t="s">
        <v>78</v>
      </c>
      <c r="H567" s="10">
        <v>2500</v>
      </c>
      <c r="I567" s="6">
        <v>5</v>
      </c>
      <c r="J567" s="6">
        <f>H567*I567</f>
        <v>12500</v>
      </c>
    </row>
    <row r="568" spans="2:10" ht="20.100000000000001" customHeight="1" x14ac:dyDescent="0.25">
      <c r="B568" s="4">
        <v>45013</v>
      </c>
      <c r="C568" s="8" t="str">
        <f>"Ord-03-23-"&amp;TEXT(ROW(C145),"000")</f>
        <v>Ord-03-23-145</v>
      </c>
      <c r="D568" s="6" t="s">
        <v>20</v>
      </c>
      <c r="E568" s="10" t="s">
        <v>30</v>
      </c>
      <c r="F568" s="10" t="s">
        <v>90</v>
      </c>
      <c r="G568" s="10" t="s">
        <v>86</v>
      </c>
      <c r="H568" s="10">
        <v>7500</v>
      </c>
      <c r="I568" s="6">
        <v>5</v>
      </c>
      <c r="J568" s="6">
        <f>H568*I568</f>
        <v>37500</v>
      </c>
    </row>
    <row r="569" spans="2:10" ht="20.100000000000001" customHeight="1" x14ac:dyDescent="0.25">
      <c r="B569" s="4">
        <v>45014</v>
      </c>
      <c r="C569" s="8" t="str">
        <f>"Ord-03-23-"&amp;TEXT(ROW(C146),"000")</f>
        <v>Ord-03-23-146</v>
      </c>
      <c r="D569" s="6" t="s">
        <v>26</v>
      </c>
      <c r="E569" s="10" t="s">
        <v>32</v>
      </c>
      <c r="F569" s="10" t="s">
        <v>44</v>
      </c>
      <c r="G569" s="10" t="s">
        <v>74</v>
      </c>
      <c r="H569" s="10">
        <v>1800</v>
      </c>
      <c r="I569" s="6">
        <v>5</v>
      </c>
      <c r="J569" s="6">
        <f>H569*I569</f>
        <v>9000</v>
      </c>
    </row>
    <row r="570" spans="2:10" ht="20.100000000000001" customHeight="1" x14ac:dyDescent="0.25">
      <c r="B570" s="4">
        <v>45014</v>
      </c>
      <c r="C570" s="8" t="str">
        <f>"Ord-03-23-"&amp;TEXT(ROW(C147),"000")</f>
        <v>Ord-03-23-147</v>
      </c>
      <c r="D570" s="6" t="s">
        <v>11</v>
      </c>
      <c r="E570" s="10" t="s">
        <v>32</v>
      </c>
      <c r="F570" s="10" t="s">
        <v>51</v>
      </c>
      <c r="G570" s="10" t="s">
        <v>83</v>
      </c>
      <c r="H570" s="10">
        <v>4000</v>
      </c>
      <c r="I570" s="6">
        <v>1</v>
      </c>
      <c r="J570" s="6">
        <f>H570*I570</f>
        <v>4000</v>
      </c>
    </row>
    <row r="571" spans="2:10" ht="20.100000000000001" customHeight="1" x14ac:dyDescent="0.25">
      <c r="B571" s="4">
        <v>45014</v>
      </c>
      <c r="C571" s="8" t="str">
        <f>"Ord-03-23-"&amp;TEXT(ROW(C148),"000")</f>
        <v>Ord-03-23-148</v>
      </c>
      <c r="D571" s="6" t="s">
        <v>25</v>
      </c>
      <c r="E571" s="10" t="s">
        <v>31</v>
      </c>
      <c r="F571" s="10" t="s">
        <v>43</v>
      </c>
      <c r="G571" s="10" t="s">
        <v>63</v>
      </c>
      <c r="H571" s="10">
        <v>4200</v>
      </c>
      <c r="I571" s="6">
        <v>2</v>
      </c>
      <c r="J571" s="6">
        <f>H571*I571</f>
        <v>8400</v>
      </c>
    </row>
    <row r="572" spans="2:10" ht="20.100000000000001" customHeight="1" x14ac:dyDescent="0.25">
      <c r="B572" s="4">
        <v>45014</v>
      </c>
      <c r="C572" s="8" t="str">
        <f>"Ord-03-23-"&amp;TEXT(ROW(C149),"000")</f>
        <v>Ord-03-23-149</v>
      </c>
      <c r="D572" s="6" t="s">
        <v>14</v>
      </c>
      <c r="E572" s="10" t="s">
        <v>31</v>
      </c>
      <c r="F572" s="10" t="s">
        <v>43</v>
      </c>
      <c r="G572" s="10" t="s">
        <v>61</v>
      </c>
      <c r="H572" s="10">
        <v>18000</v>
      </c>
      <c r="I572" s="6">
        <v>3</v>
      </c>
      <c r="J572" s="6">
        <f>H572*I572</f>
        <v>54000</v>
      </c>
    </row>
    <row r="573" spans="2:10" ht="20.100000000000001" customHeight="1" x14ac:dyDescent="0.25">
      <c r="B573" s="4">
        <v>45014</v>
      </c>
      <c r="C573" s="8" t="str">
        <f>"Ord-03-23-"&amp;TEXT(ROW(C150),"000")</f>
        <v>Ord-03-23-150</v>
      </c>
      <c r="D573" s="6" t="s">
        <v>23</v>
      </c>
      <c r="E573" s="10" t="s">
        <v>27</v>
      </c>
      <c r="F573" s="10" t="s">
        <v>41</v>
      </c>
      <c r="G573" s="10" t="s">
        <v>64</v>
      </c>
      <c r="H573" s="10">
        <v>2500</v>
      </c>
      <c r="I573" s="6">
        <v>5</v>
      </c>
      <c r="J573" s="6">
        <f>H573*I573</f>
        <v>12500</v>
      </c>
    </row>
    <row r="574" spans="2:10" ht="20.100000000000001" customHeight="1" x14ac:dyDescent="0.25">
      <c r="B574" s="4">
        <v>45015</v>
      </c>
      <c r="C574" s="8" t="str">
        <f>"Ord-03-23-"&amp;TEXT(ROW(C151),"000")</f>
        <v>Ord-03-23-151</v>
      </c>
      <c r="D574" s="6" t="s">
        <v>21</v>
      </c>
      <c r="E574" s="10" t="s">
        <v>28</v>
      </c>
      <c r="F574" s="10" t="s">
        <v>28</v>
      </c>
      <c r="G574" s="10" t="s">
        <v>55</v>
      </c>
      <c r="H574" s="10">
        <v>750</v>
      </c>
      <c r="I574" s="6">
        <v>4</v>
      </c>
      <c r="J574" s="6">
        <f>H574*I574</f>
        <v>3000</v>
      </c>
    </row>
    <row r="575" spans="2:10" ht="20.100000000000001" customHeight="1" x14ac:dyDescent="0.25">
      <c r="B575" s="4">
        <v>45015</v>
      </c>
      <c r="C575" s="8" t="str">
        <f>"Ord-03-23-"&amp;TEXT(ROW(C152),"000")</f>
        <v>Ord-03-23-152</v>
      </c>
      <c r="D575" s="6" t="s">
        <v>13</v>
      </c>
      <c r="E575" s="10" t="s">
        <v>28</v>
      </c>
      <c r="F575" s="10" t="s">
        <v>28</v>
      </c>
      <c r="G575" s="10" t="s">
        <v>71</v>
      </c>
      <c r="H575" s="10">
        <v>850</v>
      </c>
      <c r="I575" s="6">
        <v>3</v>
      </c>
      <c r="J575" s="6">
        <f>H575*I575</f>
        <v>2550</v>
      </c>
    </row>
    <row r="576" spans="2:10" ht="20.100000000000001" customHeight="1" x14ac:dyDescent="0.25">
      <c r="B576" s="4">
        <v>45015</v>
      </c>
      <c r="C576" s="8" t="str">
        <f>"Ord-03-23-"&amp;TEXT(ROW(C153),"000")</f>
        <v>Ord-03-23-153</v>
      </c>
      <c r="D576" s="6" t="s">
        <v>12</v>
      </c>
      <c r="E576" s="10" t="s">
        <v>32</v>
      </c>
      <c r="F576" s="10" t="s">
        <v>51</v>
      </c>
      <c r="G576" s="10" t="s">
        <v>80</v>
      </c>
      <c r="H576" s="10">
        <v>5500</v>
      </c>
      <c r="I576" s="6">
        <v>3</v>
      </c>
      <c r="J576" s="6">
        <f>H576*I576</f>
        <v>16500</v>
      </c>
    </row>
    <row r="577" spans="2:10" ht="20.100000000000001" customHeight="1" x14ac:dyDescent="0.25">
      <c r="B577" s="4">
        <v>45015</v>
      </c>
      <c r="C577" s="8" t="str">
        <f>"Ord-03-23-"&amp;TEXT(ROW(C154),"000")</f>
        <v>Ord-03-23-154</v>
      </c>
      <c r="D577" s="6" t="s">
        <v>17</v>
      </c>
      <c r="E577" s="10" t="s">
        <v>31</v>
      </c>
      <c r="F577" s="10" t="s">
        <v>43</v>
      </c>
      <c r="G577" s="10" t="s">
        <v>63</v>
      </c>
      <c r="H577" s="10">
        <v>4200</v>
      </c>
      <c r="I577" s="6">
        <v>2</v>
      </c>
      <c r="J577" s="6">
        <f>H577*I577</f>
        <v>8400</v>
      </c>
    </row>
    <row r="578" spans="2:10" ht="20.100000000000001" customHeight="1" x14ac:dyDescent="0.25">
      <c r="B578" s="4">
        <v>45015</v>
      </c>
      <c r="C578" s="8" t="str">
        <f>"Ord-03-23-"&amp;TEXT(ROW(C155),"000")</f>
        <v>Ord-03-23-155</v>
      </c>
      <c r="D578" s="6" t="s">
        <v>11</v>
      </c>
      <c r="E578" s="10" t="s">
        <v>27</v>
      </c>
      <c r="F578" s="10" t="s">
        <v>37</v>
      </c>
      <c r="G578" s="10" t="s">
        <v>53</v>
      </c>
      <c r="H578" s="10">
        <v>5200</v>
      </c>
      <c r="I578" s="6">
        <v>2</v>
      </c>
      <c r="J578" s="6">
        <f>H578*I578</f>
        <v>10400</v>
      </c>
    </row>
    <row r="579" spans="2:10" ht="20.100000000000001" customHeight="1" x14ac:dyDescent="0.25">
      <c r="B579" s="4">
        <v>45016</v>
      </c>
      <c r="C579" s="8" t="str">
        <f>"Ord-03-23-"&amp;TEXT(ROW(C156),"000")</f>
        <v>Ord-03-23-156</v>
      </c>
      <c r="D579" s="6" t="s">
        <v>19</v>
      </c>
      <c r="E579" s="10" t="s">
        <v>28</v>
      </c>
      <c r="F579" s="10" t="s">
        <v>28</v>
      </c>
      <c r="G579" s="10" t="s">
        <v>77</v>
      </c>
      <c r="H579" s="10">
        <v>1200</v>
      </c>
      <c r="I579" s="6">
        <v>5</v>
      </c>
      <c r="J579" s="6">
        <f>H579*I579</f>
        <v>6000</v>
      </c>
    </row>
    <row r="580" spans="2:10" ht="20.100000000000001" customHeight="1" x14ac:dyDescent="0.25">
      <c r="B580" s="4">
        <v>45016</v>
      </c>
      <c r="C580" s="8" t="str">
        <f>"Ord-03-23-"&amp;TEXT(ROW(C157),"000")</f>
        <v>Ord-03-23-157</v>
      </c>
      <c r="D580" s="6" t="s">
        <v>23</v>
      </c>
      <c r="E580" s="10" t="s">
        <v>33</v>
      </c>
      <c r="F580" s="10" t="s">
        <v>46</v>
      </c>
      <c r="G580" s="10" t="s">
        <v>65</v>
      </c>
      <c r="H580" s="10">
        <v>15</v>
      </c>
      <c r="I580" s="6">
        <v>320</v>
      </c>
      <c r="J580" s="6">
        <f>H580*I580</f>
        <v>4800</v>
      </c>
    </row>
    <row r="581" spans="2:10" ht="20.100000000000001" customHeight="1" x14ac:dyDescent="0.25">
      <c r="B581" s="4">
        <v>45016</v>
      </c>
      <c r="C581" s="8" t="str">
        <f>"Ord-03-23-"&amp;TEXT(ROW(C158),"000")</f>
        <v>Ord-03-23-158</v>
      </c>
      <c r="D581" s="6" t="s">
        <v>12</v>
      </c>
      <c r="E581" s="10" t="s">
        <v>31</v>
      </c>
      <c r="F581" s="10" t="s">
        <v>45</v>
      </c>
      <c r="G581" s="10" t="s">
        <v>59</v>
      </c>
      <c r="H581" s="10">
        <v>4000</v>
      </c>
      <c r="I581" s="6">
        <v>3</v>
      </c>
      <c r="J581" s="6">
        <f>H581*I581</f>
        <v>12000</v>
      </c>
    </row>
    <row r="582" spans="2:10" ht="20.100000000000001" customHeight="1" x14ac:dyDescent="0.25">
      <c r="B582" s="4">
        <v>45016</v>
      </c>
      <c r="C582" s="8" t="str">
        <f>"Ord-03-23-"&amp;TEXT(ROW(C159),"000")</f>
        <v>Ord-03-23-159</v>
      </c>
      <c r="D582" s="6" t="s">
        <v>25</v>
      </c>
      <c r="E582" s="10" t="s">
        <v>29</v>
      </c>
      <c r="F582" s="10" t="s">
        <v>39</v>
      </c>
      <c r="G582" s="10" t="s">
        <v>60</v>
      </c>
      <c r="H582" s="10">
        <v>1500</v>
      </c>
      <c r="I582" s="6">
        <v>2</v>
      </c>
      <c r="J582" s="6">
        <f>H582*I582</f>
        <v>3000</v>
      </c>
    </row>
    <row r="583" spans="2:10" ht="20.100000000000001" customHeight="1" x14ac:dyDescent="0.25">
      <c r="B583" s="4">
        <v>45016</v>
      </c>
      <c r="C583" s="8" t="str">
        <f>"Ord-03-23-"&amp;TEXT(ROW(C160),"000")</f>
        <v>Ord-03-23-160</v>
      </c>
      <c r="D583" s="6" t="s">
        <v>24</v>
      </c>
      <c r="E583" s="10" t="s">
        <v>27</v>
      </c>
      <c r="F583" s="10" t="s">
        <v>37</v>
      </c>
      <c r="G583" s="10" t="s">
        <v>54</v>
      </c>
      <c r="H583" s="10">
        <v>5000</v>
      </c>
      <c r="I583" s="6">
        <v>5</v>
      </c>
      <c r="J583" s="6">
        <f>H583*I583</f>
        <v>25000</v>
      </c>
    </row>
    <row r="584" spans="2:10" ht="20.100000000000001" customHeight="1" x14ac:dyDescent="0.25">
      <c r="B584" s="4">
        <v>45017</v>
      </c>
      <c r="C584" s="8" t="str">
        <f>"Ord-04-23-"&amp;TEXT(ROW(C1),"000")</f>
        <v>Ord-04-23-001</v>
      </c>
      <c r="D584" s="6" t="s">
        <v>15</v>
      </c>
      <c r="E584" s="10" t="s">
        <v>33</v>
      </c>
      <c r="F584" s="10" t="s">
        <v>47</v>
      </c>
      <c r="G584" s="10" t="s">
        <v>65</v>
      </c>
      <c r="H584" s="10">
        <v>25</v>
      </c>
      <c r="I584" s="6">
        <v>500</v>
      </c>
      <c r="J584" s="6">
        <f>H584*I584</f>
        <v>12500</v>
      </c>
    </row>
    <row r="585" spans="2:10" ht="20.100000000000001" customHeight="1" x14ac:dyDescent="0.25">
      <c r="B585" s="4">
        <v>45017</v>
      </c>
      <c r="C585" s="8" t="str">
        <f>"Ord-04-23-"&amp;TEXT(ROW(C2),"000")</f>
        <v>Ord-04-23-002</v>
      </c>
      <c r="D585" s="6" t="s">
        <v>15</v>
      </c>
      <c r="E585" s="10" t="s">
        <v>33</v>
      </c>
      <c r="F585" s="10" t="s">
        <v>47</v>
      </c>
      <c r="G585" s="10" t="s">
        <v>65</v>
      </c>
      <c r="H585" s="10">
        <v>25</v>
      </c>
      <c r="I585" s="6">
        <v>350</v>
      </c>
      <c r="J585" s="6">
        <f>H585*I585</f>
        <v>8750</v>
      </c>
    </row>
    <row r="586" spans="2:10" ht="20.100000000000001" customHeight="1" x14ac:dyDescent="0.25">
      <c r="B586" s="4">
        <v>45017</v>
      </c>
      <c r="C586" s="8" t="str">
        <f>"Ord-04-23-"&amp;TEXT(ROW(C3),"000")</f>
        <v>Ord-04-23-003</v>
      </c>
      <c r="D586" s="6" t="s">
        <v>22</v>
      </c>
      <c r="E586" s="10" t="s">
        <v>31</v>
      </c>
      <c r="F586" s="10" t="s">
        <v>48</v>
      </c>
      <c r="G586" s="10" t="s">
        <v>67</v>
      </c>
      <c r="H586" s="10">
        <v>8000</v>
      </c>
      <c r="I586" s="6">
        <v>1</v>
      </c>
      <c r="J586" s="6">
        <f>H586*I586</f>
        <v>8000</v>
      </c>
    </row>
    <row r="587" spans="2:10" ht="20.100000000000001" customHeight="1" x14ac:dyDescent="0.25">
      <c r="B587" s="4">
        <v>45017</v>
      </c>
      <c r="C587" s="8" t="str">
        <f>"Ord-04-23-"&amp;TEXT(ROW(C4),"000")</f>
        <v>Ord-04-23-004</v>
      </c>
      <c r="D587" s="6" t="s">
        <v>7</v>
      </c>
      <c r="E587" s="10" t="s">
        <v>29</v>
      </c>
      <c r="F587" s="10" t="s">
        <v>39</v>
      </c>
      <c r="G587" s="10" t="s">
        <v>60</v>
      </c>
      <c r="H587" s="10">
        <v>1500</v>
      </c>
      <c r="I587" s="6">
        <v>4</v>
      </c>
      <c r="J587" s="6">
        <f>H587*I587</f>
        <v>6000</v>
      </c>
    </row>
    <row r="588" spans="2:10" ht="20.100000000000001" customHeight="1" x14ac:dyDescent="0.25">
      <c r="B588" s="4">
        <v>45017</v>
      </c>
      <c r="C588" s="8" t="str">
        <f>"Ord-04-23-"&amp;TEXT(ROW(C5),"000")</f>
        <v>Ord-04-23-005</v>
      </c>
      <c r="D588" s="6" t="s">
        <v>10</v>
      </c>
      <c r="E588" s="10" t="s">
        <v>27</v>
      </c>
      <c r="F588" s="10" t="s">
        <v>38</v>
      </c>
      <c r="G588" s="10" t="s">
        <v>64</v>
      </c>
      <c r="H588" s="10">
        <v>4800</v>
      </c>
      <c r="I588" s="6">
        <v>2</v>
      </c>
      <c r="J588" s="6">
        <f>H588*I588</f>
        <v>9600</v>
      </c>
    </row>
    <row r="589" spans="2:10" ht="20.100000000000001" customHeight="1" x14ac:dyDescent="0.25">
      <c r="B589" s="4">
        <v>45018</v>
      </c>
      <c r="C589" s="8" t="str">
        <f>"Ord-04-23-"&amp;TEXT(ROW(C6),"000")</f>
        <v>Ord-04-23-006</v>
      </c>
      <c r="D589" s="6" t="s">
        <v>18</v>
      </c>
      <c r="E589" s="10" t="s">
        <v>33</v>
      </c>
      <c r="F589" s="10" t="s">
        <v>47</v>
      </c>
      <c r="G589" s="10" t="s">
        <v>65</v>
      </c>
      <c r="H589" s="10">
        <v>25</v>
      </c>
      <c r="I589" s="6">
        <v>260</v>
      </c>
      <c r="J589" s="6">
        <f>H589*I589</f>
        <v>6500</v>
      </c>
    </row>
    <row r="590" spans="2:10" ht="20.100000000000001" customHeight="1" x14ac:dyDescent="0.25">
      <c r="B590" s="4">
        <v>45018</v>
      </c>
      <c r="C590" s="8" t="str">
        <f>"Ord-04-23-"&amp;TEXT(ROW(C7),"000")</f>
        <v>Ord-04-23-007</v>
      </c>
      <c r="D590" s="6" t="s">
        <v>10</v>
      </c>
      <c r="E590" s="10" t="s">
        <v>31</v>
      </c>
      <c r="F590" s="10" t="s">
        <v>43</v>
      </c>
      <c r="G590" s="10" t="s">
        <v>76</v>
      </c>
      <c r="H590" s="10">
        <v>4800</v>
      </c>
      <c r="I590" s="6">
        <v>2</v>
      </c>
      <c r="J590" s="6">
        <f>H590*I590</f>
        <v>9600</v>
      </c>
    </row>
    <row r="591" spans="2:10" ht="20.100000000000001" customHeight="1" x14ac:dyDescent="0.25">
      <c r="B591" s="4">
        <v>45018</v>
      </c>
      <c r="C591" s="8" t="str">
        <f>"Ord-04-23-"&amp;TEXT(ROW(C8),"000")</f>
        <v>Ord-04-23-008</v>
      </c>
      <c r="D591" s="6" t="s">
        <v>11</v>
      </c>
      <c r="E591" s="10" t="s">
        <v>31</v>
      </c>
      <c r="F591" s="10" t="s">
        <v>45</v>
      </c>
      <c r="G591" s="10" t="s">
        <v>59</v>
      </c>
      <c r="H591" s="10">
        <v>4000</v>
      </c>
      <c r="I591" s="6">
        <v>5</v>
      </c>
      <c r="J591" s="6">
        <f>H591*I591</f>
        <v>20000</v>
      </c>
    </row>
    <row r="592" spans="2:10" ht="20.100000000000001" customHeight="1" x14ac:dyDescent="0.25">
      <c r="B592" s="4">
        <v>45018</v>
      </c>
      <c r="C592" s="8" t="str">
        <f>"Ord-04-23-"&amp;TEXT(ROW(C9),"000")</f>
        <v>Ord-04-23-009</v>
      </c>
      <c r="D592" s="6" t="s">
        <v>20</v>
      </c>
      <c r="E592" s="10" t="s">
        <v>31</v>
      </c>
      <c r="F592" s="10" t="s">
        <v>52</v>
      </c>
      <c r="G592" s="10" t="s">
        <v>69</v>
      </c>
      <c r="H592" s="10">
        <v>3500</v>
      </c>
      <c r="I592" s="6">
        <v>1</v>
      </c>
      <c r="J592" s="6">
        <f>H592*I592</f>
        <v>3500</v>
      </c>
    </row>
    <row r="593" spans="2:10" ht="20.100000000000001" customHeight="1" x14ac:dyDescent="0.25">
      <c r="B593" s="4">
        <v>45018</v>
      </c>
      <c r="C593" s="8" t="str">
        <f>"Ord-04-23-"&amp;TEXT(ROW(C10),"000")</f>
        <v>Ord-04-23-010</v>
      </c>
      <c r="D593" s="6" t="s">
        <v>16</v>
      </c>
      <c r="E593" s="10" t="s">
        <v>29</v>
      </c>
      <c r="F593" s="10" t="s">
        <v>40</v>
      </c>
      <c r="G593" s="10" t="s">
        <v>84</v>
      </c>
      <c r="H593" s="10">
        <v>7500</v>
      </c>
      <c r="I593" s="6">
        <v>5</v>
      </c>
      <c r="J593" s="6">
        <f>H593*I593</f>
        <v>37500</v>
      </c>
    </row>
    <row r="594" spans="2:10" ht="20.100000000000001" customHeight="1" x14ac:dyDescent="0.25">
      <c r="B594" s="4">
        <v>45019</v>
      </c>
      <c r="C594" s="8" t="str">
        <f>"Ord-04-23-"&amp;TEXT(ROW(C11),"000")</f>
        <v>Ord-04-23-011</v>
      </c>
      <c r="D594" s="6" t="s">
        <v>19</v>
      </c>
      <c r="E594" s="10" t="s">
        <v>32</v>
      </c>
      <c r="F594" s="10" t="s">
        <v>51</v>
      </c>
      <c r="G594" s="10" t="s">
        <v>72</v>
      </c>
      <c r="H594" s="10">
        <v>2200</v>
      </c>
      <c r="I594" s="6">
        <v>5</v>
      </c>
      <c r="J594" s="6">
        <f>H594*I594</f>
        <v>11000</v>
      </c>
    </row>
    <row r="595" spans="2:10" ht="20.100000000000001" customHeight="1" x14ac:dyDescent="0.25">
      <c r="B595" s="4">
        <v>45019</v>
      </c>
      <c r="C595" s="8" t="str">
        <f>"Ord-04-23-"&amp;TEXT(ROW(C12),"000")</f>
        <v>Ord-04-23-012</v>
      </c>
      <c r="D595" s="6" t="s">
        <v>19</v>
      </c>
      <c r="E595" s="10" t="s">
        <v>33</v>
      </c>
      <c r="F595" s="10" t="s">
        <v>46</v>
      </c>
      <c r="G595" s="10" t="s">
        <v>65</v>
      </c>
      <c r="H595" s="10">
        <v>15</v>
      </c>
      <c r="I595" s="6">
        <v>200</v>
      </c>
      <c r="J595" s="6">
        <f>H595*I595</f>
        <v>3000</v>
      </c>
    </row>
    <row r="596" spans="2:10" ht="20.100000000000001" customHeight="1" x14ac:dyDescent="0.25">
      <c r="B596" s="4">
        <v>45019</v>
      </c>
      <c r="C596" s="8" t="str">
        <f>"Ord-04-23-"&amp;TEXT(ROW(C13),"000")</f>
        <v>Ord-04-23-013</v>
      </c>
      <c r="D596" s="6" t="s">
        <v>19</v>
      </c>
      <c r="E596" s="10" t="s">
        <v>27</v>
      </c>
      <c r="F596" s="10" t="s">
        <v>50</v>
      </c>
      <c r="G596" s="10" t="s">
        <v>54</v>
      </c>
      <c r="H596" s="10">
        <v>3200</v>
      </c>
      <c r="I596" s="6">
        <v>3</v>
      </c>
      <c r="J596" s="6">
        <f>H596*I596</f>
        <v>9600</v>
      </c>
    </row>
    <row r="597" spans="2:10" ht="20.100000000000001" customHeight="1" x14ac:dyDescent="0.25">
      <c r="B597" s="4">
        <v>45019</v>
      </c>
      <c r="C597" s="8" t="str">
        <f>"Ord-04-23-"&amp;TEXT(ROW(C14),"000")</f>
        <v>Ord-04-23-014</v>
      </c>
      <c r="D597" s="6" t="s">
        <v>26</v>
      </c>
      <c r="E597" s="10" t="s">
        <v>27</v>
      </c>
      <c r="F597" s="10" t="s">
        <v>50</v>
      </c>
      <c r="G597" s="10" t="s">
        <v>54</v>
      </c>
      <c r="H597" s="10">
        <v>3200</v>
      </c>
      <c r="I597" s="6">
        <v>5</v>
      </c>
      <c r="J597" s="6">
        <f>H597*I597</f>
        <v>16000</v>
      </c>
    </row>
    <row r="598" spans="2:10" ht="20.100000000000001" customHeight="1" x14ac:dyDescent="0.25">
      <c r="B598" s="4">
        <v>45019</v>
      </c>
      <c r="C598" s="8" t="str">
        <f>"Ord-04-23-"&amp;TEXT(ROW(C15),"000")</f>
        <v>Ord-04-23-015</v>
      </c>
      <c r="D598" s="6" t="s">
        <v>15</v>
      </c>
      <c r="E598" s="10" t="s">
        <v>34</v>
      </c>
      <c r="F598" s="10" t="s">
        <v>49</v>
      </c>
      <c r="G598" s="10" t="s">
        <v>75</v>
      </c>
      <c r="H598" s="10">
        <v>4300</v>
      </c>
      <c r="I598" s="6">
        <v>3</v>
      </c>
      <c r="J598" s="6">
        <f>H598*I598</f>
        <v>12900</v>
      </c>
    </row>
    <row r="599" spans="2:10" ht="20.100000000000001" customHeight="1" x14ac:dyDescent="0.25">
      <c r="B599" s="4">
        <v>45020</v>
      </c>
      <c r="C599" s="8" t="str">
        <f>"Ord-04-23-"&amp;TEXT(ROW(C16),"000")</f>
        <v>Ord-04-23-016</v>
      </c>
      <c r="D599" s="6" t="s">
        <v>24</v>
      </c>
      <c r="E599" s="10" t="s">
        <v>28</v>
      </c>
      <c r="F599" s="10" t="s">
        <v>28</v>
      </c>
      <c r="G599" s="10" t="s">
        <v>77</v>
      </c>
      <c r="H599" s="10">
        <v>1200</v>
      </c>
      <c r="I599" s="6">
        <v>3</v>
      </c>
      <c r="J599" s="6">
        <f>H599*I599</f>
        <v>3600</v>
      </c>
    </row>
    <row r="600" spans="2:10" ht="20.100000000000001" customHeight="1" x14ac:dyDescent="0.25">
      <c r="B600" s="4">
        <v>45020</v>
      </c>
      <c r="C600" s="8" t="str">
        <f>"Ord-04-23-"&amp;TEXT(ROW(C17),"000")</f>
        <v>Ord-04-23-017</v>
      </c>
      <c r="D600" s="6" t="s">
        <v>22</v>
      </c>
      <c r="E600" s="10" t="s">
        <v>33</v>
      </c>
      <c r="F600" s="10" t="s">
        <v>46</v>
      </c>
      <c r="G600" s="10" t="s">
        <v>65</v>
      </c>
      <c r="H600" s="10">
        <v>15</v>
      </c>
      <c r="I600" s="6">
        <v>300</v>
      </c>
      <c r="J600" s="6">
        <f>H600*I600</f>
        <v>4500</v>
      </c>
    </row>
    <row r="601" spans="2:10" ht="20.100000000000001" customHeight="1" x14ac:dyDescent="0.25">
      <c r="B601" s="4">
        <v>45020</v>
      </c>
      <c r="C601" s="8" t="str">
        <f>"Ord-04-23-"&amp;TEXT(ROW(C18),"000")</f>
        <v>Ord-04-23-018</v>
      </c>
      <c r="D601" s="6" t="s">
        <v>12</v>
      </c>
      <c r="E601" s="10" t="s">
        <v>29</v>
      </c>
      <c r="F601" s="10" t="s">
        <v>39</v>
      </c>
      <c r="G601" s="10" t="s">
        <v>56</v>
      </c>
      <c r="H601" s="10">
        <v>2500</v>
      </c>
      <c r="I601" s="6">
        <v>5</v>
      </c>
      <c r="J601" s="6">
        <f>H601*I601</f>
        <v>12500</v>
      </c>
    </row>
    <row r="602" spans="2:10" ht="20.100000000000001" customHeight="1" x14ac:dyDescent="0.25">
      <c r="B602" s="4">
        <v>45020</v>
      </c>
      <c r="C602" s="8" t="str">
        <f>"Ord-04-23-"&amp;TEXT(ROW(C19),"000")</f>
        <v>Ord-04-23-019</v>
      </c>
      <c r="D602" s="6" t="s">
        <v>21</v>
      </c>
      <c r="E602" s="10" t="s">
        <v>27</v>
      </c>
      <c r="F602" s="10" t="s">
        <v>50</v>
      </c>
      <c r="G602" s="10" t="s">
        <v>54</v>
      </c>
      <c r="H602" s="10">
        <v>3200</v>
      </c>
      <c r="I602" s="6">
        <v>3</v>
      </c>
      <c r="J602" s="6">
        <f>H602*I602</f>
        <v>9600</v>
      </c>
    </row>
    <row r="603" spans="2:10" ht="20.100000000000001" customHeight="1" x14ac:dyDescent="0.25">
      <c r="B603" s="4">
        <v>45020</v>
      </c>
      <c r="C603" s="8" t="str">
        <f>"Ord-04-23-"&amp;TEXT(ROW(C20),"000")</f>
        <v>Ord-04-23-020</v>
      </c>
      <c r="D603" s="6" t="s">
        <v>10</v>
      </c>
      <c r="E603" s="10" t="s">
        <v>34</v>
      </c>
      <c r="F603" s="10" t="s">
        <v>49</v>
      </c>
      <c r="G603" s="10" t="s">
        <v>75</v>
      </c>
      <c r="H603" s="10">
        <v>4300</v>
      </c>
      <c r="I603" s="6">
        <v>4</v>
      </c>
      <c r="J603" s="6">
        <f>H603*I603</f>
        <v>17200</v>
      </c>
    </row>
    <row r="604" spans="2:10" ht="20.100000000000001" customHeight="1" x14ac:dyDescent="0.25">
      <c r="B604" s="4">
        <v>45021</v>
      </c>
      <c r="C604" s="8" t="str">
        <f>"Ord-04-23-"&amp;TEXT(ROW(C21),"000")</f>
        <v>Ord-04-23-021</v>
      </c>
      <c r="D604" s="6" t="s">
        <v>8</v>
      </c>
      <c r="E604" s="10" t="s">
        <v>33</v>
      </c>
      <c r="F604" s="10" t="s">
        <v>46</v>
      </c>
      <c r="G604" s="10" t="s">
        <v>65</v>
      </c>
      <c r="H604" s="10">
        <v>15</v>
      </c>
      <c r="I604" s="6">
        <v>180</v>
      </c>
      <c r="J604" s="6">
        <f>H604*I604</f>
        <v>2700</v>
      </c>
    </row>
    <row r="605" spans="2:10" ht="20.100000000000001" customHeight="1" x14ac:dyDescent="0.25">
      <c r="B605" s="4">
        <v>45021</v>
      </c>
      <c r="C605" s="8" t="str">
        <f>"Ord-04-23-"&amp;TEXT(ROW(C22),"000")</f>
        <v>Ord-04-23-022</v>
      </c>
      <c r="D605" s="6" t="s">
        <v>26</v>
      </c>
      <c r="E605" s="10" t="s">
        <v>31</v>
      </c>
      <c r="F605" s="10" t="s">
        <v>45</v>
      </c>
      <c r="G605" s="10" t="s">
        <v>67</v>
      </c>
      <c r="H605" s="10">
        <v>8500</v>
      </c>
      <c r="I605" s="6">
        <v>3</v>
      </c>
      <c r="J605" s="6">
        <f>H605*I605</f>
        <v>25500</v>
      </c>
    </row>
    <row r="606" spans="2:10" ht="20.100000000000001" customHeight="1" x14ac:dyDescent="0.25">
      <c r="B606" s="4">
        <v>45021</v>
      </c>
      <c r="C606" s="8" t="str">
        <f>"Ord-04-23-"&amp;TEXT(ROW(C23),"000")</f>
        <v>Ord-04-23-023</v>
      </c>
      <c r="D606" s="6" t="s">
        <v>24</v>
      </c>
      <c r="E606" s="10" t="s">
        <v>29</v>
      </c>
      <c r="F606" s="10" t="s">
        <v>39</v>
      </c>
      <c r="G606" s="10" t="s">
        <v>56</v>
      </c>
      <c r="H606" s="10">
        <v>2500</v>
      </c>
      <c r="I606" s="6">
        <v>3</v>
      </c>
      <c r="J606" s="6">
        <f>H606*I606</f>
        <v>7500</v>
      </c>
    </row>
    <row r="607" spans="2:10" ht="20.100000000000001" customHeight="1" x14ac:dyDescent="0.25">
      <c r="B607" s="4">
        <v>45021</v>
      </c>
      <c r="C607" s="8" t="str">
        <f>"Ord-04-23-"&amp;TEXT(ROW(C24),"000")</f>
        <v>Ord-04-23-024</v>
      </c>
      <c r="D607" s="6" t="s">
        <v>10</v>
      </c>
      <c r="E607" s="10" t="s">
        <v>27</v>
      </c>
      <c r="F607" s="10" t="s">
        <v>37</v>
      </c>
      <c r="G607" s="10" t="s">
        <v>64</v>
      </c>
      <c r="H607" s="10">
        <v>4500</v>
      </c>
      <c r="I607" s="6">
        <v>1</v>
      </c>
      <c r="J607" s="6">
        <f>H607*I607</f>
        <v>4500</v>
      </c>
    </row>
    <row r="608" spans="2:10" ht="20.100000000000001" customHeight="1" x14ac:dyDescent="0.25">
      <c r="B608" s="4">
        <v>45021</v>
      </c>
      <c r="C608" s="8" t="str">
        <f>"Ord-04-23-"&amp;TEXT(ROW(C25),"000")</f>
        <v>Ord-04-23-025</v>
      </c>
      <c r="D608" s="6" t="s">
        <v>18</v>
      </c>
      <c r="E608" s="10" t="s">
        <v>27</v>
      </c>
      <c r="F608" s="10" t="s">
        <v>41</v>
      </c>
      <c r="G608" s="10" t="s">
        <v>53</v>
      </c>
      <c r="H608" s="10">
        <v>3000</v>
      </c>
      <c r="I608" s="6">
        <v>5</v>
      </c>
      <c r="J608" s="6">
        <f>H608*I608</f>
        <v>15000</v>
      </c>
    </row>
    <row r="609" spans="2:10" ht="20.100000000000001" customHeight="1" x14ac:dyDescent="0.25">
      <c r="B609" s="4">
        <v>45022</v>
      </c>
      <c r="C609" s="8" t="str">
        <f>"Ord-04-23-"&amp;TEXT(ROW(C26),"000")</f>
        <v>Ord-04-23-026</v>
      </c>
      <c r="D609" s="6" t="s">
        <v>23</v>
      </c>
      <c r="E609" s="10" t="s">
        <v>36</v>
      </c>
      <c r="F609" s="10" t="s">
        <v>36</v>
      </c>
      <c r="G609" s="10" t="s">
        <v>78</v>
      </c>
      <c r="H609" s="10">
        <v>2500</v>
      </c>
      <c r="I609" s="6">
        <v>3</v>
      </c>
      <c r="J609" s="6">
        <f>H609*I609</f>
        <v>7500</v>
      </c>
    </row>
    <row r="610" spans="2:10" ht="20.100000000000001" customHeight="1" x14ac:dyDescent="0.25">
      <c r="B610" s="4">
        <v>45022</v>
      </c>
      <c r="C610" s="8" t="str">
        <f>"Ord-04-23-"&amp;TEXT(ROW(C27),"000")</f>
        <v>Ord-04-23-027</v>
      </c>
      <c r="D610" s="6" t="s">
        <v>15</v>
      </c>
      <c r="E610" s="10" t="s">
        <v>27</v>
      </c>
      <c r="F610" s="10" t="s">
        <v>38</v>
      </c>
      <c r="G610" s="10" t="s">
        <v>64</v>
      </c>
      <c r="H610" s="10">
        <v>4800</v>
      </c>
      <c r="I610" s="6">
        <v>5</v>
      </c>
      <c r="J610" s="6">
        <f>H610*I610</f>
        <v>24000</v>
      </c>
    </row>
    <row r="611" spans="2:10" ht="20.100000000000001" customHeight="1" x14ac:dyDescent="0.25">
      <c r="B611" s="4">
        <v>45022</v>
      </c>
      <c r="C611" s="8" t="str">
        <f>"Ord-04-23-"&amp;TEXT(ROW(C28),"000")</f>
        <v>Ord-04-23-028</v>
      </c>
      <c r="D611" s="6" t="s">
        <v>20</v>
      </c>
      <c r="E611" s="10" t="s">
        <v>27</v>
      </c>
      <c r="F611" s="10" t="s">
        <v>37</v>
      </c>
      <c r="G611" s="10" t="s">
        <v>54</v>
      </c>
      <c r="H611" s="10">
        <v>5000</v>
      </c>
      <c r="I611" s="6">
        <v>2</v>
      </c>
      <c r="J611" s="6">
        <f>H611*I611</f>
        <v>10000</v>
      </c>
    </row>
    <row r="612" spans="2:10" ht="20.100000000000001" customHeight="1" x14ac:dyDescent="0.25">
      <c r="B612" s="4">
        <v>45022</v>
      </c>
      <c r="C612" s="8" t="str">
        <f>"Ord-04-23-"&amp;TEXT(ROW(C29),"000")</f>
        <v>Ord-04-23-029</v>
      </c>
      <c r="D612" s="6" t="s">
        <v>11</v>
      </c>
      <c r="E612" s="10" t="s">
        <v>34</v>
      </c>
      <c r="F612" s="10" t="s">
        <v>49</v>
      </c>
      <c r="G612" s="10" t="s">
        <v>75</v>
      </c>
      <c r="H612" s="10">
        <v>4300</v>
      </c>
      <c r="I612" s="6">
        <v>2</v>
      </c>
      <c r="J612" s="6">
        <f>H612*I612</f>
        <v>8600</v>
      </c>
    </row>
    <row r="613" spans="2:10" ht="20.100000000000001" customHeight="1" x14ac:dyDescent="0.25">
      <c r="B613" s="4">
        <v>45022</v>
      </c>
      <c r="C613" s="8" t="str">
        <f>"Ord-04-23-"&amp;TEXT(ROW(C30),"000")</f>
        <v>Ord-04-23-030</v>
      </c>
      <c r="D613" s="6" t="s">
        <v>16</v>
      </c>
      <c r="E613" s="10" t="s">
        <v>34</v>
      </c>
      <c r="F613" s="10" t="s">
        <v>49</v>
      </c>
      <c r="G613" s="10" t="s">
        <v>68</v>
      </c>
      <c r="H613" s="10">
        <v>4000</v>
      </c>
      <c r="I613" s="6">
        <v>5</v>
      </c>
      <c r="J613" s="6">
        <f>H613*I613</f>
        <v>20000</v>
      </c>
    </row>
    <row r="614" spans="2:10" ht="20.100000000000001" customHeight="1" x14ac:dyDescent="0.25">
      <c r="B614" s="4">
        <v>45023</v>
      </c>
      <c r="C614" s="8" t="str">
        <f>"Ord-04-23-"&amp;TEXT(ROW(C31),"000")</f>
        <v>Ord-04-23-031</v>
      </c>
      <c r="D614" s="6" t="s">
        <v>23</v>
      </c>
      <c r="E614" s="10" t="s">
        <v>35</v>
      </c>
      <c r="F614" s="12" t="s">
        <v>90</v>
      </c>
      <c r="G614" s="10" t="s">
        <v>79</v>
      </c>
      <c r="H614" s="13">
        <v>4800</v>
      </c>
      <c r="I614" s="7">
        <v>1</v>
      </c>
      <c r="J614" s="6">
        <f>H614*I614</f>
        <v>4800</v>
      </c>
    </row>
    <row r="615" spans="2:10" ht="20.100000000000001" customHeight="1" x14ac:dyDescent="0.25">
      <c r="B615" s="4">
        <v>45023</v>
      </c>
      <c r="C615" s="8" t="str">
        <f>"Ord-04-23-"&amp;TEXT(ROW(C32),"000")</f>
        <v>Ord-04-23-032</v>
      </c>
      <c r="D615" s="6" t="s">
        <v>14</v>
      </c>
      <c r="E615" s="10" t="s">
        <v>28</v>
      </c>
      <c r="F615" s="10" t="s">
        <v>28</v>
      </c>
      <c r="G615" s="10" t="s">
        <v>71</v>
      </c>
      <c r="H615" s="13">
        <v>850</v>
      </c>
      <c r="I615" s="7">
        <v>1</v>
      </c>
      <c r="J615" s="6">
        <f>H615*I615</f>
        <v>850</v>
      </c>
    </row>
    <row r="616" spans="2:10" ht="20.100000000000001" customHeight="1" x14ac:dyDescent="0.25">
      <c r="B616" s="4">
        <v>45023</v>
      </c>
      <c r="C616" s="8" t="str">
        <f>"Ord-04-23-"&amp;TEXT(ROW(C33),"000")</f>
        <v>Ord-04-23-033</v>
      </c>
      <c r="D616" s="6" t="s">
        <v>12</v>
      </c>
      <c r="E616" s="10" t="s">
        <v>28</v>
      </c>
      <c r="F616" s="10" t="s">
        <v>28</v>
      </c>
      <c r="G616" s="10" t="s">
        <v>77</v>
      </c>
      <c r="H616" s="13">
        <v>1200</v>
      </c>
      <c r="I616" s="7">
        <v>5</v>
      </c>
      <c r="J616" s="6">
        <f>H616*I616</f>
        <v>6000</v>
      </c>
    </row>
    <row r="617" spans="2:10" ht="20.100000000000001" customHeight="1" x14ac:dyDescent="0.25">
      <c r="B617" s="4">
        <v>45023</v>
      </c>
      <c r="C617" s="8" t="str">
        <f>"Ord-04-23-"&amp;TEXT(ROW(C34),"000")</f>
        <v>Ord-04-23-034</v>
      </c>
      <c r="D617" s="6" t="s">
        <v>9</v>
      </c>
      <c r="E617" s="10" t="s">
        <v>33</v>
      </c>
      <c r="F617" s="10" t="s">
        <v>46</v>
      </c>
      <c r="G617" s="10" t="s">
        <v>65</v>
      </c>
      <c r="H617" s="10">
        <v>15</v>
      </c>
      <c r="I617" s="6">
        <v>250</v>
      </c>
      <c r="J617" s="6">
        <f>H617*I617</f>
        <v>3750</v>
      </c>
    </row>
    <row r="618" spans="2:10" ht="20.100000000000001" customHeight="1" x14ac:dyDescent="0.25">
      <c r="B618" s="4">
        <v>45023</v>
      </c>
      <c r="C618" s="8" t="str">
        <f>"Ord-04-23-"&amp;TEXT(ROW(C35),"000")</f>
        <v>Ord-04-23-035</v>
      </c>
      <c r="D618" s="6" t="s">
        <v>17</v>
      </c>
      <c r="E618" s="10" t="s">
        <v>31</v>
      </c>
      <c r="F618" s="10" t="s">
        <v>52</v>
      </c>
      <c r="G618" s="10" t="s">
        <v>63</v>
      </c>
      <c r="H618" s="10">
        <v>2800</v>
      </c>
      <c r="I618" s="6">
        <v>2</v>
      </c>
      <c r="J618" s="6">
        <f>H618*I618</f>
        <v>5600</v>
      </c>
    </row>
    <row r="619" spans="2:10" ht="20.100000000000001" customHeight="1" x14ac:dyDescent="0.25">
      <c r="B619" s="4">
        <v>45023</v>
      </c>
      <c r="C619" s="8" t="str">
        <f>"Ord-04-23-"&amp;TEXT(ROW(C36),"000")</f>
        <v>Ord-04-23-036</v>
      </c>
      <c r="D619" s="6" t="s">
        <v>12</v>
      </c>
      <c r="E619" s="10" t="s">
        <v>31</v>
      </c>
      <c r="F619" s="10" t="s">
        <v>52</v>
      </c>
      <c r="G619" s="10" t="s">
        <v>82</v>
      </c>
      <c r="H619" s="13">
        <v>5000</v>
      </c>
      <c r="I619" s="7">
        <v>1</v>
      </c>
      <c r="J619" s="6">
        <f>H619*I619</f>
        <v>5000</v>
      </c>
    </row>
    <row r="620" spans="2:10" ht="20.100000000000001" customHeight="1" x14ac:dyDescent="0.25">
      <c r="B620" s="4">
        <v>45023</v>
      </c>
      <c r="C620" s="8" t="str">
        <f>"Ord-04-23-"&amp;TEXT(ROW(C37),"000")</f>
        <v>Ord-04-23-037</v>
      </c>
      <c r="D620" s="6" t="s">
        <v>9</v>
      </c>
      <c r="E620" s="10" t="s">
        <v>29</v>
      </c>
      <c r="F620" s="10" t="s">
        <v>40</v>
      </c>
      <c r="G620" s="10" t="s">
        <v>57</v>
      </c>
      <c r="H620" s="13">
        <v>4000</v>
      </c>
      <c r="I620" s="7">
        <v>3</v>
      </c>
      <c r="J620" s="6">
        <f>H620*I620</f>
        <v>12000</v>
      </c>
    </row>
    <row r="621" spans="2:10" ht="20.100000000000001" customHeight="1" x14ac:dyDescent="0.25">
      <c r="B621" s="4">
        <v>45023</v>
      </c>
      <c r="C621" s="8" t="str">
        <f>"Ord-04-23-"&amp;TEXT(ROW(C38),"000")</f>
        <v>Ord-04-23-038</v>
      </c>
      <c r="D621" s="6" t="s">
        <v>21</v>
      </c>
      <c r="E621" s="10" t="s">
        <v>27</v>
      </c>
      <c r="F621" s="10" t="s">
        <v>42</v>
      </c>
      <c r="G621" s="10" t="s">
        <v>42</v>
      </c>
      <c r="H621" s="10">
        <v>2500</v>
      </c>
      <c r="I621" s="6">
        <v>1</v>
      </c>
      <c r="J621" s="6">
        <f>H621*I621</f>
        <v>2500</v>
      </c>
    </row>
    <row r="622" spans="2:10" ht="20.100000000000001" customHeight="1" x14ac:dyDescent="0.25">
      <c r="B622" s="4">
        <v>45023</v>
      </c>
      <c r="C622" s="8" t="str">
        <f>"Ord-04-23-"&amp;TEXT(ROW(C39),"000")</f>
        <v>Ord-04-23-039</v>
      </c>
      <c r="D622" s="6" t="s">
        <v>16</v>
      </c>
      <c r="E622" s="10" t="s">
        <v>27</v>
      </c>
      <c r="F622" s="10" t="s">
        <v>38</v>
      </c>
      <c r="G622" s="10" t="s">
        <v>64</v>
      </c>
      <c r="H622" s="10">
        <v>4800</v>
      </c>
      <c r="I622" s="6">
        <v>3</v>
      </c>
      <c r="J622" s="6">
        <f>H622*I622</f>
        <v>14400</v>
      </c>
    </row>
    <row r="623" spans="2:10" ht="20.100000000000001" customHeight="1" x14ac:dyDescent="0.25">
      <c r="B623" s="4">
        <v>45023</v>
      </c>
      <c r="C623" s="8" t="str">
        <f>"Ord-04-23-"&amp;TEXT(ROW(C40),"000")</f>
        <v>Ord-04-23-040</v>
      </c>
      <c r="D623" s="6" t="s">
        <v>13</v>
      </c>
      <c r="E623" s="10" t="s">
        <v>27</v>
      </c>
      <c r="F623" s="10" t="s">
        <v>38</v>
      </c>
      <c r="G623" s="10" t="s">
        <v>64</v>
      </c>
      <c r="H623" s="10">
        <v>4800</v>
      </c>
      <c r="I623" s="6">
        <v>4</v>
      </c>
      <c r="J623" s="6">
        <f>H623*I623</f>
        <v>19200</v>
      </c>
    </row>
    <row r="624" spans="2:10" ht="20.100000000000001" customHeight="1" x14ac:dyDescent="0.25">
      <c r="B624" s="4">
        <v>45024</v>
      </c>
      <c r="C624" s="8" t="str">
        <f>"Ord-04-23-"&amp;TEXT(ROW(C41),"000")</f>
        <v>Ord-04-23-041</v>
      </c>
      <c r="D624" s="6" t="s">
        <v>14</v>
      </c>
      <c r="E624" s="10" t="s">
        <v>33</v>
      </c>
      <c r="F624" s="10" t="s">
        <v>47</v>
      </c>
      <c r="G624" s="10" t="s">
        <v>65</v>
      </c>
      <c r="H624" s="10">
        <v>25</v>
      </c>
      <c r="I624" s="6">
        <v>600</v>
      </c>
      <c r="J624" s="6">
        <f>H624*I624</f>
        <v>15000</v>
      </c>
    </row>
    <row r="625" spans="2:10" ht="20.100000000000001" customHeight="1" x14ac:dyDescent="0.25">
      <c r="B625" s="4">
        <v>45024</v>
      </c>
      <c r="C625" s="8" t="str">
        <f>"Ord-04-23-"&amp;TEXT(ROW(C42),"000")</f>
        <v>Ord-04-23-042</v>
      </c>
      <c r="D625" s="6" t="s">
        <v>19</v>
      </c>
      <c r="E625" s="10" t="s">
        <v>33</v>
      </c>
      <c r="F625" s="10" t="s">
        <v>46</v>
      </c>
      <c r="G625" s="10" t="s">
        <v>65</v>
      </c>
      <c r="H625" s="10">
        <v>15</v>
      </c>
      <c r="I625" s="6">
        <v>1000</v>
      </c>
      <c r="J625" s="6">
        <f>H625*I625</f>
        <v>15000</v>
      </c>
    </row>
    <row r="626" spans="2:10" ht="20.100000000000001" customHeight="1" x14ac:dyDescent="0.25">
      <c r="B626" s="4">
        <v>45024</v>
      </c>
      <c r="C626" s="8" t="str">
        <f>"Ord-04-23-"&amp;TEXT(ROW(C43),"000")</f>
        <v>Ord-04-23-043</v>
      </c>
      <c r="D626" s="6" t="s">
        <v>23</v>
      </c>
      <c r="E626" s="10" t="s">
        <v>31</v>
      </c>
      <c r="F626" s="10" t="s">
        <v>45</v>
      </c>
      <c r="G626" s="10" t="s">
        <v>66</v>
      </c>
      <c r="H626" s="10">
        <v>2300</v>
      </c>
      <c r="I626" s="6">
        <v>3</v>
      </c>
      <c r="J626" s="6">
        <f>H626*I626</f>
        <v>6900</v>
      </c>
    </row>
    <row r="627" spans="2:10" ht="20.100000000000001" customHeight="1" x14ac:dyDescent="0.25">
      <c r="B627" s="4">
        <v>45024</v>
      </c>
      <c r="C627" s="8" t="str">
        <f>"Ord-04-23-"&amp;TEXT(ROW(C44),"000")</f>
        <v>Ord-04-23-044</v>
      </c>
      <c r="D627" s="6" t="s">
        <v>21</v>
      </c>
      <c r="E627" s="10" t="s">
        <v>31</v>
      </c>
      <c r="F627" s="10" t="s">
        <v>52</v>
      </c>
      <c r="G627" s="10" t="s">
        <v>67</v>
      </c>
      <c r="H627" s="10">
        <v>4000</v>
      </c>
      <c r="I627" s="6">
        <v>2</v>
      </c>
      <c r="J627" s="6">
        <f>H627*I627</f>
        <v>8000</v>
      </c>
    </row>
    <row r="628" spans="2:10" ht="20.100000000000001" customHeight="1" x14ac:dyDescent="0.25">
      <c r="B628" s="4">
        <v>45024</v>
      </c>
      <c r="C628" s="8" t="str">
        <f>"Ord-04-23-"&amp;TEXT(ROW(C45),"000")</f>
        <v>Ord-04-23-045</v>
      </c>
      <c r="D628" s="6" t="s">
        <v>24</v>
      </c>
      <c r="E628" s="10" t="s">
        <v>34</v>
      </c>
      <c r="F628" s="10" t="s">
        <v>49</v>
      </c>
      <c r="G628" s="10" t="s">
        <v>75</v>
      </c>
      <c r="H628" s="10">
        <v>4300</v>
      </c>
      <c r="I628" s="6">
        <v>2</v>
      </c>
      <c r="J628" s="6">
        <f>H628*I628</f>
        <v>8600</v>
      </c>
    </row>
    <row r="629" spans="2:10" ht="20.100000000000001" customHeight="1" x14ac:dyDescent="0.25">
      <c r="B629" s="4">
        <v>45025</v>
      </c>
      <c r="C629" s="8" t="str">
        <f>"Ord-04-23-"&amp;TEXT(ROW(C46),"000")</f>
        <v>Ord-04-23-046</v>
      </c>
      <c r="D629" s="6" t="s">
        <v>20</v>
      </c>
      <c r="E629" s="10" t="s">
        <v>35</v>
      </c>
      <c r="F629" s="12" t="s">
        <v>90</v>
      </c>
      <c r="G629" s="10" t="s">
        <v>55</v>
      </c>
      <c r="H629" s="10">
        <v>5000</v>
      </c>
      <c r="I629" s="6">
        <v>4</v>
      </c>
      <c r="J629" s="6">
        <f>H629*I629</f>
        <v>20000</v>
      </c>
    </row>
    <row r="630" spans="2:10" ht="20.100000000000001" customHeight="1" x14ac:dyDescent="0.25">
      <c r="B630" s="4">
        <v>45025</v>
      </c>
      <c r="C630" s="8" t="str">
        <f>"Ord-04-23-"&amp;TEXT(ROW(C47),"000")</f>
        <v>Ord-04-23-047</v>
      </c>
      <c r="D630" s="6" t="s">
        <v>19</v>
      </c>
      <c r="E630" s="10" t="s">
        <v>33</v>
      </c>
      <c r="F630" s="10" t="s">
        <v>47</v>
      </c>
      <c r="G630" s="10" t="s">
        <v>65</v>
      </c>
      <c r="H630" s="10">
        <v>25</v>
      </c>
      <c r="I630" s="6">
        <v>250</v>
      </c>
      <c r="J630" s="6">
        <f>H630*I630</f>
        <v>6250</v>
      </c>
    </row>
    <row r="631" spans="2:10" ht="20.100000000000001" customHeight="1" x14ac:dyDescent="0.25">
      <c r="B631" s="4">
        <v>45025</v>
      </c>
      <c r="C631" s="8" t="str">
        <f>"Ord-04-23-"&amp;TEXT(ROW(C48),"000")</f>
        <v>Ord-04-23-048</v>
      </c>
      <c r="D631" s="6" t="s">
        <v>25</v>
      </c>
      <c r="E631" s="10" t="s">
        <v>31</v>
      </c>
      <c r="F631" s="10" t="s">
        <v>52</v>
      </c>
      <c r="G631" s="10" t="s">
        <v>67</v>
      </c>
      <c r="H631" s="10">
        <v>4000</v>
      </c>
      <c r="I631" s="6">
        <v>5</v>
      </c>
      <c r="J631" s="6">
        <f>H631*I631</f>
        <v>20000</v>
      </c>
    </row>
    <row r="632" spans="2:10" ht="20.100000000000001" customHeight="1" x14ac:dyDescent="0.25">
      <c r="B632" s="4">
        <v>45025</v>
      </c>
      <c r="C632" s="8" t="str">
        <f>"Ord-04-23-"&amp;TEXT(ROW(C49),"000")</f>
        <v>Ord-04-23-049</v>
      </c>
      <c r="D632" s="6" t="s">
        <v>15</v>
      </c>
      <c r="E632" s="10" t="s">
        <v>29</v>
      </c>
      <c r="F632" s="10" t="s">
        <v>40</v>
      </c>
      <c r="G632" s="10" t="s">
        <v>84</v>
      </c>
      <c r="H632" s="10">
        <v>7500</v>
      </c>
      <c r="I632" s="6">
        <v>3</v>
      </c>
      <c r="J632" s="6">
        <f>H632*I632</f>
        <v>22500</v>
      </c>
    </row>
    <row r="633" spans="2:10" ht="20.100000000000001" customHeight="1" x14ac:dyDescent="0.25">
      <c r="B633" s="4">
        <v>45025</v>
      </c>
      <c r="C633" s="8" t="str">
        <f>"Ord-04-23-"&amp;TEXT(ROW(C50),"000")</f>
        <v>Ord-04-23-050</v>
      </c>
      <c r="D633" s="6" t="s">
        <v>25</v>
      </c>
      <c r="E633" s="10" t="s">
        <v>29</v>
      </c>
      <c r="F633" s="10" t="s">
        <v>39</v>
      </c>
      <c r="G633" s="10" t="s">
        <v>56</v>
      </c>
      <c r="H633" s="10">
        <v>2500</v>
      </c>
      <c r="I633" s="6">
        <v>2</v>
      </c>
      <c r="J633" s="6">
        <f>H633*I633</f>
        <v>5000</v>
      </c>
    </row>
    <row r="634" spans="2:10" ht="20.100000000000001" customHeight="1" x14ac:dyDescent="0.25">
      <c r="B634" s="4">
        <v>45026</v>
      </c>
      <c r="C634" s="8" t="str">
        <f>"Ord-04-23-"&amp;TEXT(ROW(C51),"000")</f>
        <v>Ord-04-23-051</v>
      </c>
      <c r="D634" s="6" t="s">
        <v>10</v>
      </c>
      <c r="E634" s="10" t="s">
        <v>28</v>
      </c>
      <c r="F634" s="10" t="s">
        <v>28</v>
      </c>
      <c r="G634" s="10" t="s">
        <v>77</v>
      </c>
      <c r="H634" s="10">
        <v>1200</v>
      </c>
      <c r="I634" s="6">
        <v>3</v>
      </c>
      <c r="J634" s="6">
        <f>H634*I634</f>
        <v>3600</v>
      </c>
    </row>
    <row r="635" spans="2:10" ht="20.100000000000001" customHeight="1" x14ac:dyDescent="0.25">
      <c r="B635" s="4">
        <v>45026</v>
      </c>
      <c r="C635" s="8" t="str">
        <f>"Ord-04-23-"&amp;TEXT(ROW(C52),"000")</f>
        <v>Ord-04-23-052</v>
      </c>
      <c r="D635" s="6" t="s">
        <v>15</v>
      </c>
      <c r="E635" s="10" t="s">
        <v>33</v>
      </c>
      <c r="F635" s="10" t="s">
        <v>46</v>
      </c>
      <c r="G635" s="10" t="s">
        <v>65</v>
      </c>
      <c r="H635" s="10">
        <v>15</v>
      </c>
      <c r="I635" s="6">
        <v>250</v>
      </c>
      <c r="J635" s="6">
        <f>H635*I635</f>
        <v>3750</v>
      </c>
    </row>
    <row r="636" spans="2:10" ht="20.100000000000001" customHeight="1" x14ac:dyDescent="0.25">
      <c r="B636" s="4">
        <v>45026</v>
      </c>
      <c r="C636" s="8" t="str">
        <f>"Ord-04-23-"&amp;TEXT(ROW(C53),"000")</f>
        <v>Ord-04-23-053</v>
      </c>
      <c r="D636" s="6" t="s">
        <v>20</v>
      </c>
      <c r="E636" s="10" t="s">
        <v>36</v>
      </c>
      <c r="F636" s="10" t="s">
        <v>36</v>
      </c>
      <c r="G636" s="10" t="s">
        <v>41</v>
      </c>
      <c r="H636" s="10">
        <v>2000</v>
      </c>
      <c r="I636" s="6">
        <v>1</v>
      </c>
      <c r="J636" s="6">
        <f>H636*I636</f>
        <v>2000</v>
      </c>
    </row>
    <row r="637" spans="2:10" ht="20.100000000000001" customHeight="1" x14ac:dyDescent="0.25">
      <c r="B637" s="4">
        <v>45026</v>
      </c>
      <c r="C637" s="8" t="str">
        <f>"Ord-04-23-"&amp;TEXT(ROW(C54),"000")</f>
        <v>Ord-04-23-054</v>
      </c>
      <c r="D637" s="6" t="s">
        <v>25</v>
      </c>
      <c r="E637" s="10" t="s">
        <v>30</v>
      </c>
      <c r="F637" s="10" t="s">
        <v>90</v>
      </c>
      <c r="G637" s="10" t="s">
        <v>86</v>
      </c>
      <c r="H637" s="10">
        <v>7500</v>
      </c>
      <c r="I637" s="6">
        <v>3</v>
      </c>
      <c r="J637" s="6">
        <f>H637*I637</f>
        <v>22500</v>
      </c>
    </row>
    <row r="638" spans="2:10" ht="20.100000000000001" customHeight="1" x14ac:dyDescent="0.25">
      <c r="B638" s="4">
        <v>45026</v>
      </c>
      <c r="C638" s="8" t="str">
        <f>"Ord-04-23-"&amp;TEXT(ROW(C55),"000")</f>
        <v>Ord-04-23-055</v>
      </c>
      <c r="D638" s="6" t="s">
        <v>15</v>
      </c>
      <c r="E638" s="10" t="s">
        <v>27</v>
      </c>
      <c r="F638" s="10" t="s">
        <v>37</v>
      </c>
      <c r="G638" s="10" t="s">
        <v>64</v>
      </c>
      <c r="H638" s="10">
        <v>4500</v>
      </c>
      <c r="I638" s="6">
        <v>1</v>
      </c>
      <c r="J638" s="6">
        <f>H638*I638</f>
        <v>4500</v>
      </c>
    </row>
    <row r="639" spans="2:10" ht="20.100000000000001" customHeight="1" x14ac:dyDescent="0.25">
      <c r="B639" s="4">
        <v>45027</v>
      </c>
      <c r="C639" s="8" t="str">
        <f>"Ord-04-23-"&amp;TEXT(ROW(C56),"000")</f>
        <v>Ord-04-23-056</v>
      </c>
      <c r="D639" s="6" t="s">
        <v>7</v>
      </c>
      <c r="E639" s="10" t="s">
        <v>28</v>
      </c>
      <c r="F639" s="10" t="s">
        <v>28</v>
      </c>
      <c r="G639" s="10" t="s">
        <v>55</v>
      </c>
      <c r="H639" s="10">
        <v>750</v>
      </c>
      <c r="I639" s="6">
        <v>5</v>
      </c>
      <c r="J639" s="6">
        <f>H639*I639</f>
        <v>3750</v>
      </c>
    </row>
    <row r="640" spans="2:10" ht="20.100000000000001" customHeight="1" x14ac:dyDescent="0.25">
      <c r="B640" s="4">
        <v>45027</v>
      </c>
      <c r="C640" s="8" t="str">
        <f>"Ord-04-23-"&amp;TEXT(ROW(C57),"000")</f>
        <v>Ord-04-23-057</v>
      </c>
      <c r="D640" s="6" t="s">
        <v>7</v>
      </c>
      <c r="E640" s="10" t="s">
        <v>31</v>
      </c>
      <c r="F640" s="10" t="s">
        <v>45</v>
      </c>
      <c r="G640" s="10" t="s">
        <v>66</v>
      </c>
      <c r="H640" s="10">
        <v>2300</v>
      </c>
      <c r="I640" s="6">
        <v>4</v>
      </c>
      <c r="J640" s="6">
        <f>H640*I640</f>
        <v>9200</v>
      </c>
    </row>
    <row r="641" spans="2:10" ht="20.100000000000001" customHeight="1" x14ac:dyDescent="0.25">
      <c r="B641" s="4">
        <v>45027</v>
      </c>
      <c r="C641" s="8" t="str">
        <f>"Ord-04-23-"&amp;TEXT(ROW(C58),"000")</f>
        <v>Ord-04-23-058</v>
      </c>
      <c r="D641" s="6" t="s">
        <v>22</v>
      </c>
      <c r="E641" s="10" t="s">
        <v>27</v>
      </c>
      <c r="F641" s="10" t="s">
        <v>42</v>
      </c>
      <c r="G641" s="10" t="s">
        <v>42</v>
      </c>
      <c r="H641" s="10">
        <v>2500</v>
      </c>
      <c r="I641" s="6">
        <v>1</v>
      </c>
      <c r="J641" s="6">
        <f>H641*I641</f>
        <v>2500</v>
      </c>
    </row>
    <row r="642" spans="2:10" ht="20.100000000000001" customHeight="1" x14ac:dyDescent="0.25">
      <c r="B642" s="4">
        <v>45027</v>
      </c>
      <c r="C642" s="8" t="str">
        <f>"Ord-04-23-"&amp;TEXT(ROW(C59),"000")</f>
        <v>Ord-04-23-059</v>
      </c>
      <c r="D642" s="6" t="s">
        <v>18</v>
      </c>
      <c r="E642" s="10" t="s">
        <v>27</v>
      </c>
      <c r="F642" s="10" t="s">
        <v>41</v>
      </c>
      <c r="G642" s="10" t="s">
        <v>64</v>
      </c>
      <c r="H642" s="10">
        <v>2500</v>
      </c>
      <c r="I642" s="6">
        <v>2</v>
      </c>
      <c r="J642" s="6">
        <f>H642*I642</f>
        <v>5000</v>
      </c>
    </row>
    <row r="643" spans="2:10" ht="20.100000000000001" customHeight="1" x14ac:dyDescent="0.25">
      <c r="B643" s="4">
        <v>45027</v>
      </c>
      <c r="C643" s="8" t="str">
        <f>"Ord-04-23-"&amp;TEXT(ROW(C60),"000")</f>
        <v>Ord-04-23-060</v>
      </c>
      <c r="D643" s="6" t="s">
        <v>11</v>
      </c>
      <c r="E643" s="10" t="s">
        <v>34</v>
      </c>
      <c r="F643" s="10" t="s">
        <v>49</v>
      </c>
      <c r="G643" s="10" t="s">
        <v>75</v>
      </c>
      <c r="H643" s="10">
        <v>4300</v>
      </c>
      <c r="I643" s="6">
        <v>4</v>
      </c>
      <c r="J643" s="6">
        <f>H643*I643</f>
        <v>17200</v>
      </c>
    </row>
    <row r="644" spans="2:10" ht="20.100000000000001" customHeight="1" x14ac:dyDescent="0.25">
      <c r="B644" s="4">
        <v>45028</v>
      </c>
      <c r="C644" s="8" t="str">
        <f>"Ord-04-23-"&amp;TEXT(ROW(C61),"000")</f>
        <v>Ord-04-23-061</v>
      </c>
      <c r="D644" s="6" t="s">
        <v>19</v>
      </c>
      <c r="E644" s="10" t="s">
        <v>28</v>
      </c>
      <c r="F644" s="10" t="s">
        <v>28</v>
      </c>
      <c r="G644" s="10" t="s">
        <v>71</v>
      </c>
      <c r="H644" s="10">
        <v>850</v>
      </c>
      <c r="I644" s="6">
        <v>1</v>
      </c>
      <c r="J644" s="6">
        <f>H644*I644</f>
        <v>850</v>
      </c>
    </row>
    <row r="645" spans="2:10" ht="20.100000000000001" customHeight="1" x14ac:dyDescent="0.25">
      <c r="B645" s="4">
        <v>45028</v>
      </c>
      <c r="C645" s="8" t="str">
        <f>"Ord-04-23-"&amp;TEXT(ROW(C62),"000")</f>
        <v>Ord-04-23-062</v>
      </c>
      <c r="D645" s="6" t="s">
        <v>12</v>
      </c>
      <c r="E645" s="10" t="s">
        <v>33</v>
      </c>
      <c r="F645" s="10" t="s">
        <v>46</v>
      </c>
      <c r="G645" s="10" t="s">
        <v>65</v>
      </c>
      <c r="H645" s="10">
        <v>15</v>
      </c>
      <c r="I645" s="6">
        <v>500</v>
      </c>
      <c r="J645" s="6">
        <f>H645*I645</f>
        <v>7500</v>
      </c>
    </row>
    <row r="646" spans="2:10" ht="20.100000000000001" customHeight="1" x14ac:dyDescent="0.25">
      <c r="B646" s="4">
        <v>45028</v>
      </c>
      <c r="C646" s="8" t="str">
        <f>"Ord-04-23-"&amp;TEXT(ROW(C63),"000")</f>
        <v>Ord-04-23-063</v>
      </c>
      <c r="D646" s="6" t="s">
        <v>23</v>
      </c>
      <c r="E646" s="10" t="s">
        <v>36</v>
      </c>
      <c r="F646" s="10" t="s">
        <v>36</v>
      </c>
      <c r="G646" s="10" t="s">
        <v>85</v>
      </c>
      <c r="H646" s="10">
        <v>2200</v>
      </c>
      <c r="I646" s="6">
        <v>3</v>
      </c>
      <c r="J646" s="6">
        <f>H646*I646</f>
        <v>6600</v>
      </c>
    </row>
    <row r="647" spans="2:10" ht="20.100000000000001" customHeight="1" x14ac:dyDescent="0.25">
      <c r="B647" s="4">
        <v>45028</v>
      </c>
      <c r="C647" s="8" t="str">
        <f>"Ord-04-23-"&amp;TEXT(ROW(C64),"000")</f>
        <v>Ord-04-23-064</v>
      </c>
      <c r="D647" s="6" t="s">
        <v>19</v>
      </c>
      <c r="E647" s="10" t="s">
        <v>29</v>
      </c>
      <c r="F647" s="10" t="s">
        <v>39</v>
      </c>
      <c r="G647" s="10" t="s">
        <v>60</v>
      </c>
      <c r="H647" s="10">
        <v>1500</v>
      </c>
      <c r="I647" s="6">
        <v>1</v>
      </c>
      <c r="J647" s="6">
        <f>H647*I647</f>
        <v>1500</v>
      </c>
    </row>
    <row r="648" spans="2:10" ht="20.100000000000001" customHeight="1" x14ac:dyDescent="0.25">
      <c r="B648" s="4">
        <v>45028</v>
      </c>
      <c r="C648" s="8" t="str">
        <f>"Ord-04-23-"&amp;TEXT(ROW(C65),"000")</f>
        <v>Ord-04-23-065</v>
      </c>
      <c r="D648" s="6" t="s">
        <v>13</v>
      </c>
      <c r="E648" s="10" t="s">
        <v>27</v>
      </c>
      <c r="F648" s="10" t="s">
        <v>41</v>
      </c>
      <c r="G648" s="10" t="s">
        <v>54</v>
      </c>
      <c r="H648" s="10">
        <v>2800</v>
      </c>
      <c r="I648" s="6">
        <v>5</v>
      </c>
      <c r="J648" s="6">
        <f>H648*I648</f>
        <v>14000</v>
      </c>
    </row>
    <row r="649" spans="2:10" ht="20.100000000000001" customHeight="1" x14ac:dyDescent="0.25">
      <c r="B649" s="4">
        <v>45029</v>
      </c>
      <c r="C649" s="8" t="str">
        <f>"Ord-04-23-"&amp;TEXT(ROW(C66),"000")</f>
        <v>Ord-04-23-066</v>
      </c>
      <c r="D649" s="6" t="s">
        <v>25</v>
      </c>
      <c r="E649" s="10" t="s">
        <v>31</v>
      </c>
      <c r="F649" s="10" t="s">
        <v>45</v>
      </c>
      <c r="G649" s="10" t="s">
        <v>59</v>
      </c>
      <c r="H649" s="10">
        <v>4000</v>
      </c>
      <c r="I649" s="6">
        <v>1</v>
      </c>
      <c r="J649" s="6">
        <f>H649*I649</f>
        <v>4000</v>
      </c>
    </row>
    <row r="650" spans="2:10" ht="20.100000000000001" customHeight="1" x14ac:dyDescent="0.25">
      <c r="B650" s="4">
        <v>45029</v>
      </c>
      <c r="C650" s="8" t="str">
        <f>"Ord-04-23-"&amp;TEXT(ROW(C67),"000")</f>
        <v>Ord-04-23-067</v>
      </c>
      <c r="D650" s="6" t="s">
        <v>13</v>
      </c>
      <c r="E650" s="10" t="s">
        <v>31</v>
      </c>
      <c r="F650" s="10" t="s">
        <v>45</v>
      </c>
      <c r="G650" s="10" t="s">
        <v>67</v>
      </c>
      <c r="H650" s="10">
        <v>8500</v>
      </c>
      <c r="I650" s="6">
        <v>2</v>
      </c>
      <c r="J650" s="6">
        <f>H650*I650</f>
        <v>17000</v>
      </c>
    </row>
    <row r="651" spans="2:10" ht="20.100000000000001" customHeight="1" x14ac:dyDescent="0.25">
      <c r="B651" s="4">
        <v>45029</v>
      </c>
      <c r="C651" s="8" t="str">
        <f>"Ord-04-23-"&amp;TEXT(ROW(C68),"000")</f>
        <v>Ord-04-23-068</v>
      </c>
      <c r="D651" s="6" t="s">
        <v>9</v>
      </c>
      <c r="E651" s="10" t="s">
        <v>29</v>
      </c>
      <c r="F651" s="10" t="s">
        <v>39</v>
      </c>
      <c r="G651" s="10" t="s">
        <v>56</v>
      </c>
      <c r="H651" s="10">
        <v>2500</v>
      </c>
      <c r="I651" s="6">
        <v>3</v>
      </c>
      <c r="J651" s="6">
        <f>H651*I651</f>
        <v>7500</v>
      </c>
    </row>
    <row r="652" spans="2:10" ht="20.100000000000001" customHeight="1" x14ac:dyDescent="0.25">
      <c r="B652" s="4">
        <v>45029</v>
      </c>
      <c r="C652" s="8" t="str">
        <f>"Ord-04-23-"&amp;TEXT(ROW(C69),"000")</f>
        <v>Ord-04-23-069</v>
      </c>
      <c r="D652" s="6" t="s">
        <v>15</v>
      </c>
      <c r="E652" s="10" t="s">
        <v>30</v>
      </c>
      <c r="F652" s="10" t="s">
        <v>90</v>
      </c>
      <c r="G652" s="10" t="s">
        <v>59</v>
      </c>
      <c r="H652" s="10">
        <v>4800</v>
      </c>
      <c r="I652" s="6">
        <v>3</v>
      </c>
      <c r="J652" s="6">
        <f>H652*I652</f>
        <v>14400</v>
      </c>
    </row>
    <row r="653" spans="2:10" ht="20.100000000000001" customHeight="1" x14ac:dyDescent="0.25">
      <c r="B653" s="4">
        <v>45029</v>
      </c>
      <c r="C653" s="8" t="str">
        <f>"Ord-04-23-"&amp;TEXT(ROW(C70),"000")</f>
        <v>Ord-04-23-070</v>
      </c>
      <c r="D653" s="6" t="s">
        <v>10</v>
      </c>
      <c r="E653" s="10" t="s">
        <v>27</v>
      </c>
      <c r="F653" s="10" t="s">
        <v>38</v>
      </c>
      <c r="G653" s="10" t="s">
        <v>54</v>
      </c>
      <c r="H653" s="10">
        <v>5200</v>
      </c>
      <c r="I653" s="6">
        <v>2</v>
      </c>
      <c r="J653" s="6">
        <f>H653*I653</f>
        <v>10400</v>
      </c>
    </row>
    <row r="654" spans="2:10" ht="20.100000000000001" customHeight="1" x14ac:dyDescent="0.25">
      <c r="B654" s="4">
        <v>45030</v>
      </c>
      <c r="C654" s="8" t="str">
        <f>"Ord-04-23-"&amp;TEXT(ROW(C71),"000")</f>
        <v>Ord-04-23-071</v>
      </c>
      <c r="D654" s="6" t="s">
        <v>21</v>
      </c>
      <c r="E654" s="10" t="s">
        <v>35</v>
      </c>
      <c r="F654" s="12" t="s">
        <v>90</v>
      </c>
      <c r="G654" s="10" t="s">
        <v>58</v>
      </c>
      <c r="H654" s="10">
        <v>7500</v>
      </c>
      <c r="I654" s="6">
        <v>3</v>
      </c>
      <c r="J654" s="6">
        <f>H654*I654</f>
        <v>22500</v>
      </c>
    </row>
    <row r="655" spans="2:10" ht="20.100000000000001" customHeight="1" x14ac:dyDescent="0.25">
      <c r="B655" s="4">
        <v>45030</v>
      </c>
      <c r="C655" s="8" t="str">
        <f>"Ord-04-23-"&amp;TEXT(ROW(C72),"000")</f>
        <v>Ord-04-23-072</v>
      </c>
      <c r="D655" s="6" t="s">
        <v>18</v>
      </c>
      <c r="E655" s="10" t="s">
        <v>28</v>
      </c>
      <c r="F655" s="10" t="s">
        <v>28</v>
      </c>
      <c r="G655" s="10" t="s">
        <v>55</v>
      </c>
      <c r="H655" s="10">
        <v>750</v>
      </c>
      <c r="I655" s="6">
        <v>2</v>
      </c>
      <c r="J655" s="6">
        <f>H655*I655</f>
        <v>1500</v>
      </c>
    </row>
    <row r="656" spans="2:10" ht="20.100000000000001" customHeight="1" x14ac:dyDescent="0.25">
      <c r="B656" s="4">
        <v>45030</v>
      </c>
      <c r="C656" s="8" t="str">
        <f>"Ord-04-23-"&amp;TEXT(ROW(C73),"000")</f>
        <v>Ord-04-23-073</v>
      </c>
      <c r="D656" s="6" t="s">
        <v>15</v>
      </c>
      <c r="E656" s="10" t="s">
        <v>31</v>
      </c>
      <c r="F656" s="10" t="s">
        <v>48</v>
      </c>
      <c r="G656" s="10" t="s">
        <v>76</v>
      </c>
      <c r="H656" s="10">
        <v>3500</v>
      </c>
      <c r="I656" s="6">
        <v>4</v>
      </c>
      <c r="J656" s="6">
        <f>H656*I656</f>
        <v>14000</v>
      </c>
    </row>
    <row r="657" spans="2:10" ht="20.100000000000001" customHeight="1" x14ac:dyDescent="0.25">
      <c r="B657" s="4">
        <v>45030</v>
      </c>
      <c r="C657" s="8" t="str">
        <f>"Ord-04-23-"&amp;TEXT(ROW(C74),"000")</f>
        <v>Ord-04-23-074</v>
      </c>
      <c r="D657" s="6" t="s">
        <v>7</v>
      </c>
      <c r="E657" s="10" t="s">
        <v>29</v>
      </c>
      <c r="F657" s="10" t="s">
        <v>40</v>
      </c>
      <c r="G657" s="10" t="s">
        <v>57</v>
      </c>
      <c r="H657" s="10">
        <v>4000</v>
      </c>
      <c r="I657" s="6">
        <v>1</v>
      </c>
      <c r="J657" s="6">
        <f>H657*I657</f>
        <v>4000</v>
      </c>
    </row>
    <row r="658" spans="2:10" ht="20.100000000000001" customHeight="1" x14ac:dyDescent="0.25">
      <c r="B658" s="4">
        <v>45030</v>
      </c>
      <c r="C658" s="8" t="str">
        <f>"Ord-04-23-"&amp;TEXT(ROW(C75),"000")</f>
        <v>Ord-04-23-075</v>
      </c>
      <c r="D658" s="6" t="s">
        <v>9</v>
      </c>
      <c r="E658" s="10" t="s">
        <v>29</v>
      </c>
      <c r="F658" s="10" t="s">
        <v>40</v>
      </c>
      <c r="G658" s="10" t="s">
        <v>84</v>
      </c>
      <c r="H658" s="10">
        <v>7500</v>
      </c>
      <c r="I658" s="6">
        <v>2</v>
      </c>
      <c r="J658" s="6">
        <f>H658*I658</f>
        <v>15000</v>
      </c>
    </row>
    <row r="659" spans="2:10" ht="20.100000000000001" customHeight="1" x14ac:dyDescent="0.25">
      <c r="B659" s="4">
        <v>45031</v>
      </c>
      <c r="C659" s="8" t="str">
        <f>"Ord-04-23-"&amp;TEXT(ROW(C76),"000")</f>
        <v>Ord-04-23-076</v>
      </c>
      <c r="D659" s="6" t="s">
        <v>15</v>
      </c>
      <c r="E659" s="10" t="s">
        <v>32</v>
      </c>
      <c r="F659" s="10" t="s">
        <v>44</v>
      </c>
      <c r="G659" s="10" t="s">
        <v>62</v>
      </c>
      <c r="H659" s="10">
        <v>1200</v>
      </c>
      <c r="I659" s="6">
        <v>2</v>
      </c>
      <c r="J659" s="6">
        <f>H659*I659</f>
        <v>2400</v>
      </c>
    </row>
    <row r="660" spans="2:10" ht="20.100000000000001" customHeight="1" x14ac:dyDescent="0.25">
      <c r="B660" s="4">
        <v>45031</v>
      </c>
      <c r="C660" s="8" t="str">
        <f>"Ord-04-23-"&amp;TEXT(ROW(C77),"000")</f>
        <v>Ord-04-23-077</v>
      </c>
      <c r="D660" s="6" t="s">
        <v>19</v>
      </c>
      <c r="E660" s="10" t="s">
        <v>33</v>
      </c>
      <c r="F660" s="10" t="s">
        <v>47</v>
      </c>
      <c r="G660" s="10" t="s">
        <v>65</v>
      </c>
      <c r="H660" s="10">
        <v>25</v>
      </c>
      <c r="I660" s="6">
        <v>100</v>
      </c>
      <c r="J660" s="6">
        <f>H660*I660</f>
        <v>2500</v>
      </c>
    </row>
    <row r="661" spans="2:10" ht="20.100000000000001" customHeight="1" x14ac:dyDescent="0.25">
      <c r="B661" s="4">
        <v>45031</v>
      </c>
      <c r="C661" s="8" t="str">
        <f>"Ord-04-23-"&amp;TEXT(ROW(C78),"000")</f>
        <v>Ord-04-23-078</v>
      </c>
      <c r="D661" s="6" t="s">
        <v>9</v>
      </c>
      <c r="E661" s="10" t="s">
        <v>33</v>
      </c>
      <c r="F661" s="10" t="s">
        <v>46</v>
      </c>
      <c r="G661" s="10" t="s">
        <v>65</v>
      </c>
      <c r="H661" s="10">
        <v>15</v>
      </c>
      <c r="I661" s="6">
        <v>400</v>
      </c>
      <c r="J661" s="6">
        <f>H661*I661</f>
        <v>6000</v>
      </c>
    </row>
    <row r="662" spans="2:10" ht="20.100000000000001" customHeight="1" x14ac:dyDescent="0.25">
      <c r="B662" s="4">
        <v>45031</v>
      </c>
      <c r="C662" s="8" t="str">
        <f>"Ord-04-23-"&amp;TEXT(ROW(C79),"000")</f>
        <v>Ord-04-23-079</v>
      </c>
      <c r="D662" s="6" t="s">
        <v>21</v>
      </c>
      <c r="E662" s="10" t="s">
        <v>33</v>
      </c>
      <c r="F662" s="10" t="s">
        <v>46</v>
      </c>
      <c r="G662" s="10" t="s">
        <v>65</v>
      </c>
      <c r="H662" s="10">
        <v>15</v>
      </c>
      <c r="I662" s="6">
        <v>370</v>
      </c>
      <c r="J662" s="6">
        <f>H662*I662</f>
        <v>5550</v>
      </c>
    </row>
    <row r="663" spans="2:10" ht="20.100000000000001" customHeight="1" x14ac:dyDescent="0.25">
      <c r="B663" s="4">
        <v>45031</v>
      </c>
      <c r="C663" s="8" t="str">
        <f>"Ord-04-23-"&amp;TEXT(ROW(C80),"000")</f>
        <v>Ord-04-23-080</v>
      </c>
      <c r="D663" s="6" t="s">
        <v>13</v>
      </c>
      <c r="E663" s="10" t="s">
        <v>30</v>
      </c>
      <c r="F663" s="10" t="s">
        <v>90</v>
      </c>
      <c r="G663" s="10" t="s">
        <v>86</v>
      </c>
      <c r="H663" s="10">
        <v>7500</v>
      </c>
      <c r="I663" s="6">
        <v>2</v>
      </c>
      <c r="J663" s="6">
        <f>H663*I663</f>
        <v>15000</v>
      </c>
    </row>
    <row r="664" spans="2:10" ht="20.100000000000001" customHeight="1" x14ac:dyDescent="0.25">
      <c r="B664" s="4">
        <v>45032</v>
      </c>
      <c r="C664" s="8" t="str">
        <f>"Ord-04-23-"&amp;TEXT(ROW(C81),"000")</f>
        <v>Ord-04-23-081</v>
      </c>
      <c r="D664" s="6" t="s">
        <v>22</v>
      </c>
      <c r="E664" s="10" t="s">
        <v>35</v>
      </c>
      <c r="F664" s="12" t="s">
        <v>90</v>
      </c>
      <c r="G664" s="10" t="s">
        <v>79</v>
      </c>
      <c r="H664" s="10">
        <v>4800</v>
      </c>
      <c r="I664" s="6">
        <v>1</v>
      </c>
      <c r="J664" s="6">
        <f>H664*I664</f>
        <v>4800</v>
      </c>
    </row>
    <row r="665" spans="2:10" ht="20.100000000000001" customHeight="1" x14ac:dyDescent="0.25">
      <c r="B665" s="4">
        <v>45032</v>
      </c>
      <c r="C665" s="8" t="str">
        <f>"Ord-04-23-"&amp;TEXT(ROW(C82),"000")</f>
        <v>Ord-04-23-082</v>
      </c>
      <c r="D665" s="6" t="s">
        <v>22</v>
      </c>
      <c r="E665" s="10" t="s">
        <v>32</v>
      </c>
      <c r="F665" s="10" t="s">
        <v>44</v>
      </c>
      <c r="G665" s="10" t="s">
        <v>72</v>
      </c>
      <c r="H665" s="10">
        <v>2200</v>
      </c>
      <c r="I665" s="6">
        <v>1</v>
      </c>
      <c r="J665" s="6">
        <f>H665*I665</f>
        <v>2200</v>
      </c>
    </row>
    <row r="666" spans="2:10" ht="20.100000000000001" customHeight="1" x14ac:dyDescent="0.25">
      <c r="B666" s="4">
        <v>45032</v>
      </c>
      <c r="C666" s="8" t="str">
        <f>"Ord-04-23-"&amp;TEXT(ROW(C83),"000")</f>
        <v>Ord-04-23-083</v>
      </c>
      <c r="D666" s="6" t="s">
        <v>8</v>
      </c>
      <c r="E666" s="10" t="s">
        <v>32</v>
      </c>
      <c r="F666" s="10" t="s">
        <v>51</v>
      </c>
      <c r="G666" s="10" t="s">
        <v>83</v>
      </c>
      <c r="H666" s="10">
        <v>4000</v>
      </c>
      <c r="I666" s="6">
        <v>2</v>
      </c>
      <c r="J666" s="6">
        <f>H666*I666</f>
        <v>8000</v>
      </c>
    </row>
    <row r="667" spans="2:10" ht="20.100000000000001" customHeight="1" x14ac:dyDescent="0.25">
      <c r="B667" s="4">
        <v>45032</v>
      </c>
      <c r="C667" s="8" t="str">
        <f>"Ord-04-23-"&amp;TEXT(ROW(C84),"000")</f>
        <v>Ord-04-23-084</v>
      </c>
      <c r="D667" s="6" t="s">
        <v>13</v>
      </c>
      <c r="E667" s="10" t="s">
        <v>31</v>
      </c>
      <c r="F667" s="10" t="s">
        <v>43</v>
      </c>
      <c r="G667" s="10" t="s">
        <v>63</v>
      </c>
      <c r="H667" s="10">
        <v>4200</v>
      </c>
      <c r="I667" s="6">
        <v>2</v>
      </c>
      <c r="J667" s="6">
        <f>H667*I667</f>
        <v>8400</v>
      </c>
    </row>
    <row r="668" spans="2:10" ht="20.100000000000001" customHeight="1" x14ac:dyDescent="0.25">
      <c r="B668" s="4">
        <v>45032</v>
      </c>
      <c r="C668" s="8" t="str">
        <f>"Ord-04-23-"&amp;TEXT(ROW(C85),"000")</f>
        <v>Ord-04-23-085</v>
      </c>
      <c r="D668" s="6" t="s">
        <v>20</v>
      </c>
      <c r="E668" s="10" t="s">
        <v>27</v>
      </c>
      <c r="F668" s="10" t="s">
        <v>42</v>
      </c>
      <c r="G668" s="10" t="s">
        <v>42</v>
      </c>
      <c r="H668" s="10">
        <v>2500</v>
      </c>
      <c r="I668" s="6">
        <v>2</v>
      </c>
      <c r="J668" s="6">
        <f>H668*I668</f>
        <v>5000</v>
      </c>
    </row>
    <row r="669" spans="2:10" ht="20.100000000000001" customHeight="1" x14ac:dyDescent="0.25">
      <c r="B669" s="4">
        <v>45033</v>
      </c>
      <c r="C669" s="8" t="str">
        <f>"Ord-04-23-"&amp;TEXT(ROW(C86),"000")</f>
        <v>Ord-04-23-086</v>
      </c>
      <c r="D669" s="6" t="s">
        <v>18</v>
      </c>
      <c r="E669" s="10" t="s">
        <v>31</v>
      </c>
      <c r="F669" s="10" t="s">
        <v>48</v>
      </c>
      <c r="G669" s="10" t="s">
        <v>69</v>
      </c>
      <c r="H669" s="10">
        <v>3500</v>
      </c>
      <c r="I669" s="6">
        <v>2</v>
      </c>
      <c r="J669" s="6">
        <f>H669*I669</f>
        <v>7000</v>
      </c>
    </row>
    <row r="670" spans="2:10" ht="20.100000000000001" customHeight="1" x14ac:dyDescent="0.25">
      <c r="B670" s="4">
        <v>45033</v>
      </c>
      <c r="C670" s="8" t="str">
        <f>"Ord-04-23-"&amp;TEXT(ROW(C87),"000")</f>
        <v>Ord-04-23-087</v>
      </c>
      <c r="D670" s="6" t="s">
        <v>12</v>
      </c>
      <c r="E670" s="10" t="s">
        <v>30</v>
      </c>
      <c r="F670" s="10" t="s">
        <v>90</v>
      </c>
      <c r="G670" s="10" t="s">
        <v>59</v>
      </c>
      <c r="H670" s="10">
        <v>4800</v>
      </c>
      <c r="I670" s="6">
        <v>3</v>
      </c>
      <c r="J670" s="6">
        <f>H670*I670</f>
        <v>14400</v>
      </c>
    </row>
    <row r="671" spans="2:10" ht="20.100000000000001" customHeight="1" x14ac:dyDescent="0.25">
      <c r="B671" s="4">
        <v>45033</v>
      </c>
      <c r="C671" s="8" t="str">
        <f>"Ord-04-23-"&amp;TEXT(ROW(C88),"000")</f>
        <v>Ord-04-23-088</v>
      </c>
      <c r="D671" s="6" t="s">
        <v>10</v>
      </c>
      <c r="E671" s="10" t="s">
        <v>30</v>
      </c>
      <c r="F671" s="10" t="s">
        <v>90</v>
      </c>
      <c r="G671" s="10" t="s">
        <v>86</v>
      </c>
      <c r="H671" s="10">
        <v>7500</v>
      </c>
      <c r="I671" s="6">
        <v>4</v>
      </c>
      <c r="J671" s="6">
        <f>H671*I671</f>
        <v>30000</v>
      </c>
    </row>
    <row r="672" spans="2:10" ht="20.100000000000001" customHeight="1" x14ac:dyDescent="0.25">
      <c r="B672" s="4">
        <v>45033</v>
      </c>
      <c r="C672" s="8" t="str">
        <f>"Ord-04-23-"&amp;TEXT(ROW(C89),"000")</f>
        <v>Ord-04-23-089</v>
      </c>
      <c r="D672" s="6" t="s">
        <v>11</v>
      </c>
      <c r="E672" s="10" t="s">
        <v>27</v>
      </c>
      <c r="F672" s="10" t="s">
        <v>42</v>
      </c>
      <c r="G672" s="10" t="s">
        <v>42</v>
      </c>
      <c r="H672" s="10">
        <v>2500</v>
      </c>
      <c r="I672" s="6">
        <v>1</v>
      </c>
      <c r="J672" s="6">
        <f>H672*I672</f>
        <v>2500</v>
      </c>
    </row>
    <row r="673" spans="2:10" ht="20.100000000000001" customHeight="1" x14ac:dyDescent="0.25">
      <c r="B673" s="4">
        <v>45033</v>
      </c>
      <c r="C673" s="8" t="str">
        <f>"Ord-04-23-"&amp;TEXT(ROW(C90),"000")</f>
        <v>Ord-04-23-090</v>
      </c>
      <c r="D673" s="6" t="s">
        <v>11</v>
      </c>
      <c r="E673" s="10" t="s">
        <v>27</v>
      </c>
      <c r="F673" s="10" t="s">
        <v>42</v>
      </c>
      <c r="G673" s="10" t="s">
        <v>42</v>
      </c>
      <c r="H673" s="10">
        <v>2500</v>
      </c>
      <c r="I673" s="6">
        <v>5</v>
      </c>
      <c r="J673" s="6">
        <f>H673*I673</f>
        <v>12500</v>
      </c>
    </row>
    <row r="674" spans="2:10" ht="20.100000000000001" customHeight="1" x14ac:dyDescent="0.25">
      <c r="B674" s="4">
        <v>45034</v>
      </c>
      <c r="C674" s="8" t="str">
        <f>"Ord-04-23-"&amp;TEXT(ROW(C91),"000")</f>
        <v>Ord-04-23-091</v>
      </c>
      <c r="D674" s="6" t="s">
        <v>23</v>
      </c>
      <c r="E674" s="10" t="s">
        <v>32</v>
      </c>
      <c r="F674" s="10" t="s">
        <v>44</v>
      </c>
      <c r="G674" s="10" t="s">
        <v>74</v>
      </c>
      <c r="H674" s="10">
        <v>1800</v>
      </c>
      <c r="I674" s="6">
        <v>1</v>
      </c>
      <c r="J674" s="6">
        <f>H674*I674</f>
        <v>1800</v>
      </c>
    </row>
    <row r="675" spans="2:10" ht="20.100000000000001" customHeight="1" x14ac:dyDescent="0.25">
      <c r="B675" s="4">
        <v>45034</v>
      </c>
      <c r="C675" s="8" t="str">
        <f>"Ord-04-23-"&amp;TEXT(ROW(C92),"000")</f>
        <v>Ord-04-23-092</v>
      </c>
      <c r="D675" s="6" t="s">
        <v>21</v>
      </c>
      <c r="E675" s="10" t="s">
        <v>31</v>
      </c>
      <c r="F675" s="10" t="s">
        <v>48</v>
      </c>
      <c r="G675" s="10" t="s">
        <v>59</v>
      </c>
      <c r="H675" s="10">
        <v>4000</v>
      </c>
      <c r="I675" s="6">
        <v>5</v>
      </c>
      <c r="J675" s="6">
        <f>H675*I675</f>
        <v>20000</v>
      </c>
    </row>
    <row r="676" spans="2:10" ht="20.100000000000001" customHeight="1" x14ac:dyDescent="0.25">
      <c r="B676" s="4">
        <v>45034</v>
      </c>
      <c r="C676" s="8" t="str">
        <f>"Ord-04-23-"&amp;TEXT(ROW(C93),"000")</f>
        <v>Ord-04-23-093</v>
      </c>
      <c r="D676" s="6" t="s">
        <v>7</v>
      </c>
      <c r="E676" s="10" t="s">
        <v>27</v>
      </c>
      <c r="F676" s="10" t="s">
        <v>42</v>
      </c>
      <c r="G676" s="10" t="s">
        <v>42</v>
      </c>
      <c r="H676" s="10">
        <v>2500</v>
      </c>
      <c r="I676" s="6">
        <v>1</v>
      </c>
      <c r="J676" s="6">
        <f>H676*I676</f>
        <v>2500</v>
      </c>
    </row>
    <row r="677" spans="2:10" ht="20.100000000000001" customHeight="1" x14ac:dyDescent="0.25">
      <c r="B677" s="4">
        <v>45034</v>
      </c>
      <c r="C677" s="8" t="str">
        <f>"Ord-04-23-"&amp;TEXT(ROW(C94),"000")</f>
        <v>Ord-04-23-094</v>
      </c>
      <c r="D677" s="6" t="s">
        <v>17</v>
      </c>
      <c r="E677" s="10" t="s">
        <v>27</v>
      </c>
      <c r="F677" s="10" t="s">
        <v>38</v>
      </c>
      <c r="G677" s="10" t="s">
        <v>54</v>
      </c>
      <c r="H677" s="10">
        <v>5200</v>
      </c>
      <c r="I677" s="6">
        <v>3</v>
      </c>
      <c r="J677" s="6">
        <f>H677*I677</f>
        <v>15600</v>
      </c>
    </row>
    <row r="678" spans="2:10" ht="20.100000000000001" customHeight="1" x14ac:dyDescent="0.25">
      <c r="B678" s="4">
        <v>45034</v>
      </c>
      <c r="C678" s="8" t="str">
        <f>"Ord-04-23-"&amp;TEXT(ROW(C95),"000")</f>
        <v>Ord-04-23-095</v>
      </c>
      <c r="D678" s="6" t="s">
        <v>15</v>
      </c>
      <c r="E678" s="10" t="s">
        <v>27</v>
      </c>
      <c r="F678" s="10" t="s">
        <v>41</v>
      </c>
      <c r="G678" s="10" t="s">
        <v>64</v>
      </c>
      <c r="H678" s="10">
        <v>2500</v>
      </c>
      <c r="I678" s="6">
        <v>5</v>
      </c>
      <c r="J678" s="6">
        <f>H678*I678</f>
        <v>12500</v>
      </c>
    </row>
    <row r="679" spans="2:10" ht="20.100000000000001" customHeight="1" x14ac:dyDescent="0.25">
      <c r="B679" s="4">
        <v>45035</v>
      </c>
      <c r="C679" s="8" t="str">
        <f>"Ord-04-23-"&amp;TEXT(ROW(C96),"000")</f>
        <v>Ord-04-23-096</v>
      </c>
      <c r="D679" s="6" t="s">
        <v>20</v>
      </c>
      <c r="E679" s="10" t="s">
        <v>32</v>
      </c>
      <c r="F679" s="10" t="s">
        <v>44</v>
      </c>
      <c r="G679" s="10" t="s">
        <v>74</v>
      </c>
      <c r="H679" s="10">
        <v>1800</v>
      </c>
      <c r="I679" s="6">
        <v>1</v>
      </c>
      <c r="J679" s="6">
        <f>H679*I679</f>
        <v>1800</v>
      </c>
    </row>
    <row r="680" spans="2:10" ht="20.100000000000001" customHeight="1" x14ac:dyDescent="0.25">
      <c r="B680" s="4">
        <v>45035</v>
      </c>
      <c r="C680" s="8" t="str">
        <f>"Ord-04-23-"&amp;TEXT(ROW(C97),"000")</f>
        <v>Ord-04-23-097</v>
      </c>
      <c r="D680" s="6" t="s">
        <v>14</v>
      </c>
      <c r="E680" s="10" t="s">
        <v>33</v>
      </c>
      <c r="F680" s="10" t="s">
        <v>47</v>
      </c>
      <c r="G680" s="10" t="s">
        <v>65</v>
      </c>
      <c r="H680" s="10">
        <v>25</v>
      </c>
      <c r="I680" s="6">
        <v>350</v>
      </c>
      <c r="J680" s="6">
        <f>H680*I680</f>
        <v>8750</v>
      </c>
    </row>
    <row r="681" spans="2:10" ht="20.100000000000001" customHeight="1" x14ac:dyDescent="0.25">
      <c r="B681" s="4">
        <v>45035</v>
      </c>
      <c r="C681" s="8" t="str">
        <f>"Ord-04-23-"&amp;TEXT(ROW(C98),"000")</f>
        <v>Ord-04-23-098</v>
      </c>
      <c r="D681" s="6" t="s">
        <v>24</v>
      </c>
      <c r="E681" s="10" t="s">
        <v>31</v>
      </c>
      <c r="F681" s="10" t="s">
        <v>48</v>
      </c>
      <c r="G681" s="10" t="s">
        <v>69</v>
      </c>
      <c r="H681" s="10">
        <v>3500</v>
      </c>
      <c r="I681" s="6">
        <v>5</v>
      </c>
      <c r="J681" s="6">
        <f>H681*I681</f>
        <v>17500</v>
      </c>
    </row>
    <row r="682" spans="2:10" ht="20.100000000000001" customHeight="1" x14ac:dyDescent="0.25">
      <c r="B682" s="4">
        <v>45035</v>
      </c>
      <c r="C682" s="8" t="str">
        <f>"Ord-04-23-"&amp;TEXT(ROW(C99),"000")</f>
        <v>Ord-04-23-099</v>
      </c>
      <c r="D682" s="6" t="s">
        <v>14</v>
      </c>
      <c r="E682" s="10" t="s">
        <v>36</v>
      </c>
      <c r="F682" s="10" t="s">
        <v>36</v>
      </c>
      <c r="G682" s="10" t="s">
        <v>78</v>
      </c>
      <c r="H682" s="10">
        <v>2500</v>
      </c>
      <c r="I682" s="6">
        <v>5</v>
      </c>
      <c r="J682" s="6">
        <f>H682*I682</f>
        <v>12500</v>
      </c>
    </row>
    <row r="683" spans="2:10" ht="20.100000000000001" customHeight="1" x14ac:dyDescent="0.25">
      <c r="B683" s="4">
        <v>45035</v>
      </c>
      <c r="C683" s="8" t="str">
        <f>"Ord-04-23-"&amp;TEXT(ROW(C100),"000")</f>
        <v>Ord-04-23-100</v>
      </c>
      <c r="D683" s="6" t="s">
        <v>8</v>
      </c>
      <c r="E683" s="10" t="s">
        <v>27</v>
      </c>
      <c r="F683" s="10" t="s">
        <v>42</v>
      </c>
      <c r="G683" s="10" t="s">
        <v>42</v>
      </c>
      <c r="H683" s="10">
        <v>2500</v>
      </c>
      <c r="I683" s="6">
        <v>1</v>
      </c>
      <c r="J683" s="6">
        <f>H683*I683</f>
        <v>2500</v>
      </c>
    </row>
    <row r="684" spans="2:10" ht="20.100000000000001" customHeight="1" x14ac:dyDescent="0.25">
      <c r="B684" s="4">
        <v>45036</v>
      </c>
      <c r="C684" s="8" t="str">
        <f>"Ord-04-23-"&amp;TEXT(ROW(C101),"000")</f>
        <v>Ord-04-23-101</v>
      </c>
      <c r="D684" s="6" t="s">
        <v>18</v>
      </c>
      <c r="E684" s="10" t="s">
        <v>32</v>
      </c>
      <c r="F684" s="10" t="s">
        <v>44</v>
      </c>
      <c r="G684" s="10" t="s">
        <v>74</v>
      </c>
      <c r="H684" s="10">
        <v>1800</v>
      </c>
      <c r="I684" s="6">
        <v>1</v>
      </c>
      <c r="J684" s="6">
        <f>H684*I684</f>
        <v>1800</v>
      </c>
    </row>
    <row r="685" spans="2:10" ht="20.100000000000001" customHeight="1" x14ac:dyDescent="0.25">
      <c r="B685" s="4">
        <v>45036</v>
      </c>
      <c r="C685" s="8" t="str">
        <f>"Ord-04-23-"&amp;TEXT(ROW(C102),"000")</f>
        <v>Ord-04-23-102</v>
      </c>
      <c r="D685" s="6" t="s">
        <v>15</v>
      </c>
      <c r="E685" s="10" t="s">
        <v>32</v>
      </c>
      <c r="F685" s="10" t="s">
        <v>51</v>
      </c>
      <c r="G685" s="10" t="s">
        <v>83</v>
      </c>
      <c r="H685" s="10">
        <v>4000</v>
      </c>
      <c r="I685" s="6">
        <v>1</v>
      </c>
      <c r="J685" s="6">
        <f>H685*I685</f>
        <v>4000</v>
      </c>
    </row>
    <row r="686" spans="2:10" ht="20.100000000000001" customHeight="1" x14ac:dyDescent="0.25">
      <c r="B686" s="4">
        <v>45036</v>
      </c>
      <c r="C686" s="8" t="str">
        <f>"Ord-04-23-"&amp;TEXT(ROW(C103),"000")</f>
        <v>Ord-04-23-103</v>
      </c>
      <c r="D686" s="6" t="s">
        <v>23</v>
      </c>
      <c r="E686" s="10" t="s">
        <v>31</v>
      </c>
      <c r="F686" s="10" t="s">
        <v>43</v>
      </c>
      <c r="G686" s="10" t="s">
        <v>61</v>
      </c>
      <c r="H686" s="10">
        <v>18000</v>
      </c>
      <c r="I686" s="6">
        <v>3</v>
      </c>
      <c r="J686" s="6">
        <f>H686*I686</f>
        <v>54000</v>
      </c>
    </row>
    <row r="687" spans="2:10" ht="20.100000000000001" customHeight="1" x14ac:dyDescent="0.25">
      <c r="B687" s="4">
        <v>45036</v>
      </c>
      <c r="C687" s="8" t="str">
        <f>"Ord-04-23-"&amp;TEXT(ROW(C104),"000")</f>
        <v>Ord-04-23-104</v>
      </c>
      <c r="D687" s="6" t="s">
        <v>8</v>
      </c>
      <c r="E687" s="10" t="s">
        <v>31</v>
      </c>
      <c r="F687" s="10" t="s">
        <v>48</v>
      </c>
      <c r="G687" s="10" t="s">
        <v>82</v>
      </c>
      <c r="H687" s="10">
        <v>8500</v>
      </c>
      <c r="I687" s="6">
        <v>1</v>
      </c>
      <c r="J687" s="6">
        <f>H687*I687</f>
        <v>8500</v>
      </c>
    </row>
    <row r="688" spans="2:10" ht="20.100000000000001" customHeight="1" x14ac:dyDescent="0.25">
      <c r="B688" s="4">
        <v>45036</v>
      </c>
      <c r="C688" s="8" t="str">
        <f>"Ord-04-23-"&amp;TEXT(ROW(C105),"000")</f>
        <v>Ord-04-23-105</v>
      </c>
      <c r="D688" s="6" t="s">
        <v>19</v>
      </c>
      <c r="E688" s="10" t="s">
        <v>27</v>
      </c>
      <c r="F688" s="10" t="s">
        <v>38</v>
      </c>
      <c r="G688" s="10" t="s">
        <v>64</v>
      </c>
      <c r="H688" s="10">
        <v>4800</v>
      </c>
      <c r="I688" s="6">
        <v>1</v>
      </c>
      <c r="J688" s="6">
        <f>H688*I688</f>
        <v>4800</v>
      </c>
    </row>
    <row r="689" spans="2:10" ht="20.100000000000001" customHeight="1" x14ac:dyDescent="0.25">
      <c r="B689" s="4">
        <v>45037</v>
      </c>
      <c r="C689" s="8" t="str">
        <f>"Ord-04-23-"&amp;TEXT(ROW(C106),"000")</f>
        <v>Ord-04-23-106</v>
      </c>
      <c r="D689" s="6" t="s">
        <v>7</v>
      </c>
      <c r="E689" s="10" t="s">
        <v>32</v>
      </c>
      <c r="F689" s="10" t="s">
        <v>51</v>
      </c>
      <c r="G689" s="10" t="s">
        <v>70</v>
      </c>
      <c r="H689" s="10">
        <v>2600</v>
      </c>
      <c r="I689" s="6">
        <v>4</v>
      </c>
      <c r="J689" s="6">
        <f>H689*I689</f>
        <v>10400</v>
      </c>
    </row>
    <row r="690" spans="2:10" ht="20.100000000000001" customHeight="1" x14ac:dyDescent="0.25">
      <c r="B690" s="4">
        <v>45037</v>
      </c>
      <c r="C690" s="8" t="str">
        <f>"Ord-04-23-"&amp;TEXT(ROW(C107),"000")</f>
        <v>Ord-04-23-107</v>
      </c>
      <c r="D690" s="6" t="s">
        <v>23</v>
      </c>
      <c r="E690" s="10" t="s">
        <v>30</v>
      </c>
      <c r="F690" s="10" t="s">
        <v>90</v>
      </c>
      <c r="G690" s="10" t="s">
        <v>59</v>
      </c>
      <c r="H690" s="10">
        <v>4800</v>
      </c>
      <c r="I690" s="6">
        <v>2</v>
      </c>
      <c r="J690" s="6">
        <f>H690*I690</f>
        <v>9600</v>
      </c>
    </row>
    <row r="691" spans="2:10" ht="20.100000000000001" customHeight="1" x14ac:dyDescent="0.25">
      <c r="B691" s="4">
        <v>45037</v>
      </c>
      <c r="C691" s="8" t="str">
        <f>"Ord-04-23-"&amp;TEXT(ROW(C108),"000")</f>
        <v>Ord-04-23-108</v>
      </c>
      <c r="D691" s="6" t="s">
        <v>8</v>
      </c>
      <c r="E691" s="10" t="s">
        <v>27</v>
      </c>
      <c r="F691" s="10" t="s">
        <v>42</v>
      </c>
      <c r="G691" s="10" t="s">
        <v>42</v>
      </c>
      <c r="H691" s="10">
        <v>2500</v>
      </c>
      <c r="I691" s="6">
        <v>4</v>
      </c>
      <c r="J691" s="6">
        <f>H691*I691</f>
        <v>10000</v>
      </c>
    </row>
    <row r="692" spans="2:10" ht="20.100000000000001" customHeight="1" x14ac:dyDescent="0.25">
      <c r="B692" s="4">
        <v>45037</v>
      </c>
      <c r="C692" s="8" t="str">
        <f>"Ord-04-23-"&amp;TEXT(ROW(C109),"000")</f>
        <v>Ord-04-23-109</v>
      </c>
      <c r="D692" s="6" t="s">
        <v>14</v>
      </c>
      <c r="E692" s="10" t="s">
        <v>27</v>
      </c>
      <c r="F692" s="10" t="s">
        <v>38</v>
      </c>
      <c r="G692" s="10" t="s">
        <v>53</v>
      </c>
      <c r="H692" s="10">
        <v>5500</v>
      </c>
      <c r="I692" s="6">
        <v>2</v>
      </c>
      <c r="J692" s="6">
        <f>H692*I692</f>
        <v>11000</v>
      </c>
    </row>
    <row r="693" spans="2:10" ht="20.100000000000001" customHeight="1" x14ac:dyDescent="0.25">
      <c r="B693" s="4">
        <v>45037</v>
      </c>
      <c r="C693" s="8" t="str">
        <f>"Ord-04-23-"&amp;TEXT(ROW(C110),"000")</f>
        <v>Ord-04-23-110</v>
      </c>
      <c r="D693" s="6" t="s">
        <v>19</v>
      </c>
      <c r="E693" s="10" t="s">
        <v>27</v>
      </c>
      <c r="F693" s="10" t="s">
        <v>38</v>
      </c>
      <c r="G693" s="10" t="s">
        <v>54</v>
      </c>
      <c r="H693" s="10">
        <v>5200</v>
      </c>
      <c r="I693" s="6">
        <v>4</v>
      </c>
      <c r="J693" s="6">
        <f>H693*I693</f>
        <v>20800</v>
      </c>
    </row>
    <row r="694" spans="2:10" ht="20.100000000000001" customHeight="1" x14ac:dyDescent="0.25">
      <c r="B694" s="4">
        <v>45038</v>
      </c>
      <c r="C694" s="8" t="str">
        <f>"Ord-04-23-"&amp;TEXT(ROW(C111),"000")</f>
        <v>Ord-04-23-111</v>
      </c>
      <c r="D694" s="6" t="s">
        <v>8</v>
      </c>
      <c r="E694" s="10" t="s">
        <v>32</v>
      </c>
      <c r="F694" s="10" t="s">
        <v>44</v>
      </c>
      <c r="G694" s="10" t="s">
        <v>62</v>
      </c>
      <c r="H694" s="10">
        <v>1200</v>
      </c>
      <c r="I694" s="6">
        <v>2</v>
      </c>
      <c r="J694" s="6">
        <f>H694*I694</f>
        <v>2400</v>
      </c>
    </row>
    <row r="695" spans="2:10" ht="20.100000000000001" customHeight="1" x14ac:dyDescent="0.25">
      <c r="B695" s="4">
        <v>45038</v>
      </c>
      <c r="C695" s="8" t="str">
        <f>"Ord-04-23-"&amp;TEXT(ROW(C112),"000")</f>
        <v>Ord-04-23-112</v>
      </c>
      <c r="D695" s="6" t="s">
        <v>7</v>
      </c>
      <c r="E695" s="10" t="s">
        <v>32</v>
      </c>
      <c r="F695" s="10" t="s">
        <v>44</v>
      </c>
      <c r="G695" s="10" t="s">
        <v>74</v>
      </c>
      <c r="H695" s="10">
        <v>1800</v>
      </c>
      <c r="I695" s="6">
        <v>2</v>
      </c>
      <c r="J695" s="6">
        <f>H695*I695</f>
        <v>3600</v>
      </c>
    </row>
    <row r="696" spans="2:10" ht="20.100000000000001" customHeight="1" x14ac:dyDescent="0.25">
      <c r="B696" s="4">
        <v>45038</v>
      </c>
      <c r="C696" s="8" t="str">
        <f>"Ord-04-23-"&amp;TEXT(ROW(C113),"000")</f>
        <v>Ord-04-23-113</v>
      </c>
      <c r="D696" s="6" t="s">
        <v>19</v>
      </c>
      <c r="E696" s="10" t="s">
        <v>32</v>
      </c>
      <c r="F696" s="10" t="s">
        <v>51</v>
      </c>
      <c r="G696" s="10" t="s">
        <v>80</v>
      </c>
      <c r="H696" s="10">
        <v>5500</v>
      </c>
      <c r="I696" s="6">
        <v>1</v>
      </c>
      <c r="J696" s="6">
        <f>H696*I696</f>
        <v>5500</v>
      </c>
    </row>
    <row r="697" spans="2:10" ht="20.100000000000001" customHeight="1" x14ac:dyDescent="0.25">
      <c r="B697" s="4">
        <v>45038</v>
      </c>
      <c r="C697" s="8" t="str">
        <f>"Ord-04-23-"&amp;TEXT(ROW(C114),"000")</f>
        <v>Ord-04-23-114</v>
      </c>
      <c r="D697" s="6" t="s">
        <v>15</v>
      </c>
      <c r="E697" s="10" t="s">
        <v>29</v>
      </c>
      <c r="F697" s="10" t="s">
        <v>39</v>
      </c>
      <c r="G697" s="10" t="s">
        <v>60</v>
      </c>
      <c r="H697" s="10">
        <v>1500</v>
      </c>
      <c r="I697" s="6">
        <v>2</v>
      </c>
      <c r="J697" s="6">
        <f>H697*I697</f>
        <v>3000</v>
      </c>
    </row>
    <row r="698" spans="2:10" ht="20.100000000000001" customHeight="1" x14ac:dyDescent="0.25">
      <c r="B698" s="4">
        <v>45038</v>
      </c>
      <c r="C698" s="8" t="str">
        <f>"Ord-04-23-"&amp;TEXT(ROW(C115),"000")</f>
        <v>Ord-04-23-115</v>
      </c>
      <c r="D698" s="6" t="s">
        <v>26</v>
      </c>
      <c r="E698" s="10" t="s">
        <v>27</v>
      </c>
      <c r="F698" s="10" t="s">
        <v>38</v>
      </c>
      <c r="G698" s="10" t="s">
        <v>64</v>
      </c>
      <c r="H698" s="10">
        <v>4800</v>
      </c>
      <c r="I698" s="6">
        <v>3</v>
      </c>
      <c r="J698" s="6">
        <f>H698*I698</f>
        <v>14400</v>
      </c>
    </row>
    <row r="699" spans="2:10" ht="20.100000000000001" customHeight="1" x14ac:dyDescent="0.25">
      <c r="B699" s="4">
        <v>45039</v>
      </c>
      <c r="C699" s="8" t="str">
        <f>"Ord-04-23-"&amp;TEXT(ROW(C116),"000")</f>
        <v>Ord-04-23-116</v>
      </c>
      <c r="D699" s="6" t="s">
        <v>19</v>
      </c>
      <c r="E699" s="10" t="s">
        <v>31</v>
      </c>
      <c r="F699" s="10" t="s">
        <v>43</v>
      </c>
      <c r="G699" s="10" t="s">
        <v>67</v>
      </c>
      <c r="H699" s="10">
        <v>14500</v>
      </c>
      <c r="I699" s="6">
        <v>3</v>
      </c>
      <c r="J699" s="6">
        <f>H699*I699</f>
        <v>43500</v>
      </c>
    </row>
    <row r="700" spans="2:10" ht="20.100000000000001" customHeight="1" x14ac:dyDescent="0.25">
      <c r="B700" s="4">
        <v>45039</v>
      </c>
      <c r="C700" s="8" t="str">
        <f>"Ord-04-23-"&amp;TEXT(ROW(C117),"000")</f>
        <v>Ord-04-23-117</v>
      </c>
      <c r="D700" s="6" t="s">
        <v>8</v>
      </c>
      <c r="E700" s="10" t="s">
        <v>31</v>
      </c>
      <c r="F700" s="10" t="s">
        <v>52</v>
      </c>
      <c r="G700" s="10" t="s">
        <v>59</v>
      </c>
      <c r="H700" s="10">
        <v>3500</v>
      </c>
      <c r="I700" s="6">
        <v>2</v>
      </c>
      <c r="J700" s="6">
        <f>H700*I700</f>
        <v>7000</v>
      </c>
    </row>
    <row r="701" spans="2:10" ht="20.100000000000001" customHeight="1" x14ac:dyDescent="0.25">
      <c r="B701" s="4">
        <v>45039</v>
      </c>
      <c r="C701" s="8" t="str">
        <f>"Ord-04-23-"&amp;TEXT(ROW(C118),"000")</f>
        <v>Ord-04-23-118</v>
      </c>
      <c r="D701" s="6" t="s">
        <v>14</v>
      </c>
      <c r="E701" s="10" t="s">
        <v>29</v>
      </c>
      <c r="F701" s="10" t="s">
        <v>40</v>
      </c>
      <c r="G701" s="10" t="s">
        <v>57</v>
      </c>
      <c r="H701" s="10">
        <v>4000</v>
      </c>
      <c r="I701" s="6">
        <v>2</v>
      </c>
      <c r="J701" s="6">
        <f>H701*I701</f>
        <v>8000</v>
      </c>
    </row>
    <row r="702" spans="2:10" ht="20.100000000000001" customHeight="1" x14ac:dyDescent="0.25">
      <c r="B702" s="4">
        <v>45039</v>
      </c>
      <c r="C702" s="8" t="str">
        <f>"Ord-04-23-"&amp;TEXT(ROW(C119),"000")</f>
        <v>Ord-04-23-119</v>
      </c>
      <c r="D702" s="6" t="s">
        <v>11</v>
      </c>
      <c r="E702" s="10" t="s">
        <v>30</v>
      </c>
      <c r="F702" s="10" t="s">
        <v>90</v>
      </c>
      <c r="G702" s="10" t="s">
        <v>59</v>
      </c>
      <c r="H702" s="10">
        <v>4800</v>
      </c>
      <c r="I702" s="6">
        <v>4</v>
      </c>
      <c r="J702" s="6">
        <f>H702*I702</f>
        <v>19200</v>
      </c>
    </row>
    <row r="703" spans="2:10" ht="20.100000000000001" customHeight="1" x14ac:dyDescent="0.25">
      <c r="B703" s="4">
        <v>45039</v>
      </c>
      <c r="C703" s="8" t="str">
        <f>"Ord-04-23-"&amp;TEXT(ROW(C120),"000")</f>
        <v>Ord-04-23-120</v>
      </c>
      <c r="D703" s="6" t="s">
        <v>24</v>
      </c>
      <c r="E703" s="10" t="s">
        <v>27</v>
      </c>
      <c r="F703" s="10" t="s">
        <v>50</v>
      </c>
      <c r="G703" s="10" t="s">
        <v>53</v>
      </c>
      <c r="H703" s="10">
        <v>3500</v>
      </c>
      <c r="I703" s="6">
        <v>1</v>
      </c>
      <c r="J703" s="6">
        <f>H703*I703</f>
        <v>3500</v>
      </c>
    </row>
    <row r="704" spans="2:10" ht="20.100000000000001" customHeight="1" x14ac:dyDescent="0.25">
      <c r="B704" s="4">
        <v>45040</v>
      </c>
      <c r="C704" s="8" t="str">
        <f>"Ord-04-23-"&amp;TEXT(ROW(C121),"000")</f>
        <v>Ord-04-23-121</v>
      </c>
      <c r="D704" s="6" t="s">
        <v>12</v>
      </c>
      <c r="E704" s="10" t="s">
        <v>28</v>
      </c>
      <c r="F704" s="10" t="s">
        <v>28</v>
      </c>
      <c r="G704" s="10" t="s">
        <v>58</v>
      </c>
      <c r="H704" s="10">
        <v>1000</v>
      </c>
      <c r="I704" s="6">
        <v>5</v>
      </c>
      <c r="J704" s="6">
        <f>H704*I704</f>
        <v>5000</v>
      </c>
    </row>
    <row r="705" spans="2:10" ht="20.100000000000001" customHeight="1" x14ac:dyDescent="0.25">
      <c r="B705" s="4">
        <v>45040</v>
      </c>
      <c r="C705" s="8" t="str">
        <f>"Ord-04-23-"&amp;TEXT(ROW(C122),"000")</f>
        <v>Ord-04-23-122</v>
      </c>
      <c r="D705" s="6" t="s">
        <v>10</v>
      </c>
      <c r="E705" s="10" t="s">
        <v>28</v>
      </c>
      <c r="F705" s="10" t="s">
        <v>28</v>
      </c>
      <c r="G705" s="10" t="s">
        <v>77</v>
      </c>
      <c r="H705" s="10">
        <v>1200</v>
      </c>
      <c r="I705" s="6">
        <v>2</v>
      </c>
      <c r="J705" s="6">
        <f>H705*I705</f>
        <v>2400</v>
      </c>
    </row>
    <row r="706" spans="2:10" ht="20.100000000000001" customHeight="1" x14ac:dyDescent="0.25">
      <c r="B706" s="4">
        <v>45040</v>
      </c>
      <c r="C706" s="8" t="str">
        <f>"Ord-04-23-"&amp;TEXT(ROW(C123),"000")</f>
        <v>Ord-04-23-123</v>
      </c>
      <c r="D706" s="6" t="s">
        <v>12</v>
      </c>
      <c r="E706" s="10" t="s">
        <v>31</v>
      </c>
      <c r="F706" s="10" t="s">
        <v>45</v>
      </c>
      <c r="G706" s="10" t="s">
        <v>66</v>
      </c>
      <c r="H706" s="10">
        <v>2300</v>
      </c>
      <c r="I706" s="6">
        <v>5</v>
      </c>
      <c r="J706" s="6">
        <f>H706*I706</f>
        <v>11500</v>
      </c>
    </row>
    <row r="707" spans="2:10" ht="20.100000000000001" customHeight="1" x14ac:dyDescent="0.25">
      <c r="B707" s="4">
        <v>45040</v>
      </c>
      <c r="C707" s="8" t="str">
        <f>"Ord-04-23-"&amp;TEXT(ROW(C124),"000")</f>
        <v>Ord-04-23-124</v>
      </c>
      <c r="D707" s="6" t="s">
        <v>24</v>
      </c>
      <c r="E707" s="10" t="s">
        <v>31</v>
      </c>
      <c r="F707" s="10" t="s">
        <v>48</v>
      </c>
      <c r="G707" s="10" t="s">
        <v>82</v>
      </c>
      <c r="H707" s="10">
        <v>8500</v>
      </c>
      <c r="I707" s="6">
        <v>3</v>
      </c>
      <c r="J707" s="6">
        <f>H707*I707</f>
        <v>25500</v>
      </c>
    </row>
    <row r="708" spans="2:10" ht="20.100000000000001" customHeight="1" x14ac:dyDescent="0.25">
      <c r="B708" s="4">
        <v>45040</v>
      </c>
      <c r="C708" s="8" t="str">
        <f>"Ord-04-23-"&amp;TEXT(ROW(C125),"000")</f>
        <v>Ord-04-23-125</v>
      </c>
      <c r="D708" s="6" t="s">
        <v>8</v>
      </c>
      <c r="E708" s="10" t="s">
        <v>36</v>
      </c>
      <c r="F708" s="10" t="s">
        <v>36</v>
      </c>
      <c r="G708" s="10" t="s">
        <v>85</v>
      </c>
      <c r="H708" s="10">
        <v>2200</v>
      </c>
      <c r="I708" s="6">
        <v>5</v>
      </c>
      <c r="J708" s="6">
        <f>H708*I708</f>
        <v>11000</v>
      </c>
    </row>
    <row r="709" spans="2:10" ht="20.100000000000001" customHeight="1" x14ac:dyDescent="0.25">
      <c r="B709" s="4">
        <v>45041</v>
      </c>
      <c r="C709" s="8" t="str">
        <f>"Ord-04-23-"&amp;TEXT(ROW(C126),"000")</f>
        <v>Ord-04-23-126</v>
      </c>
      <c r="D709" s="6" t="s">
        <v>16</v>
      </c>
      <c r="E709" s="10" t="s">
        <v>28</v>
      </c>
      <c r="F709" s="10" t="s">
        <v>28</v>
      </c>
      <c r="G709" s="10" t="s">
        <v>58</v>
      </c>
      <c r="H709" s="10">
        <v>1000</v>
      </c>
      <c r="I709" s="6">
        <v>1</v>
      </c>
      <c r="J709" s="6">
        <f>H709*I709</f>
        <v>1000</v>
      </c>
    </row>
    <row r="710" spans="2:10" ht="20.100000000000001" customHeight="1" x14ac:dyDescent="0.25">
      <c r="B710" s="4">
        <v>45041</v>
      </c>
      <c r="C710" s="8" t="str">
        <f>"Ord-04-23-"&amp;TEXT(ROW(C127),"000")</f>
        <v>Ord-04-23-127</v>
      </c>
      <c r="D710" s="6" t="s">
        <v>9</v>
      </c>
      <c r="E710" s="10" t="s">
        <v>36</v>
      </c>
      <c r="F710" s="10" t="s">
        <v>36</v>
      </c>
      <c r="G710" s="10" t="s">
        <v>78</v>
      </c>
      <c r="H710" s="10">
        <v>2500</v>
      </c>
      <c r="I710" s="6">
        <v>1</v>
      </c>
      <c r="J710" s="6">
        <f>H710*I710</f>
        <v>2500</v>
      </c>
    </row>
    <row r="711" spans="2:10" ht="20.100000000000001" customHeight="1" x14ac:dyDescent="0.25">
      <c r="B711" s="4">
        <v>45041</v>
      </c>
      <c r="C711" s="8" t="str">
        <f>"Ord-04-23-"&amp;TEXT(ROW(C128),"000")</f>
        <v>Ord-04-23-128</v>
      </c>
      <c r="D711" s="6" t="s">
        <v>8</v>
      </c>
      <c r="E711" s="10" t="s">
        <v>29</v>
      </c>
      <c r="F711" s="10" t="s">
        <v>39</v>
      </c>
      <c r="G711" s="10" t="s">
        <v>56</v>
      </c>
      <c r="H711" s="10">
        <v>2500</v>
      </c>
      <c r="I711" s="6">
        <v>5</v>
      </c>
      <c r="J711" s="6">
        <f>H711*I711</f>
        <v>12500</v>
      </c>
    </row>
    <row r="712" spans="2:10" ht="20.100000000000001" customHeight="1" x14ac:dyDescent="0.25">
      <c r="B712" s="4">
        <v>45041</v>
      </c>
      <c r="C712" s="8" t="str">
        <f>"Ord-04-23-"&amp;TEXT(ROW(C129),"000")</f>
        <v>Ord-04-23-129</v>
      </c>
      <c r="D712" s="6" t="s">
        <v>11</v>
      </c>
      <c r="E712" s="10" t="s">
        <v>27</v>
      </c>
      <c r="F712" s="10" t="s">
        <v>50</v>
      </c>
      <c r="G712" s="10" t="s">
        <v>53</v>
      </c>
      <c r="H712" s="10">
        <v>3500</v>
      </c>
      <c r="I712" s="6">
        <v>1</v>
      </c>
      <c r="J712" s="6">
        <f>H712*I712</f>
        <v>3500</v>
      </c>
    </row>
    <row r="713" spans="2:10" ht="20.100000000000001" customHeight="1" x14ac:dyDescent="0.25">
      <c r="B713" s="4">
        <v>45041</v>
      </c>
      <c r="C713" s="8" t="str">
        <f>"Ord-04-23-"&amp;TEXT(ROW(C130),"000")</f>
        <v>Ord-04-23-130</v>
      </c>
      <c r="D713" s="6" t="s">
        <v>8</v>
      </c>
      <c r="E713" s="10" t="s">
        <v>34</v>
      </c>
      <c r="F713" s="10" t="s">
        <v>49</v>
      </c>
      <c r="G713" s="10" t="s">
        <v>75</v>
      </c>
      <c r="H713" s="10">
        <v>4300</v>
      </c>
      <c r="I713" s="6">
        <v>3</v>
      </c>
      <c r="J713" s="6">
        <f>H713*I713</f>
        <v>12900</v>
      </c>
    </row>
    <row r="714" spans="2:10" ht="20.100000000000001" customHeight="1" x14ac:dyDescent="0.25">
      <c r="B714" s="4">
        <v>45042</v>
      </c>
      <c r="C714" s="8" t="str">
        <f>"Ord-04-23-"&amp;TEXT(ROW(C131),"000")</f>
        <v>Ord-04-23-131</v>
      </c>
      <c r="D714" s="6" t="s">
        <v>15</v>
      </c>
      <c r="E714" s="10" t="s">
        <v>33</v>
      </c>
      <c r="F714" s="10" t="s">
        <v>46</v>
      </c>
      <c r="G714" s="10" t="s">
        <v>65</v>
      </c>
      <c r="H714" s="10">
        <v>15</v>
      </c>
      <c r="I714" s="6">
        <v>100</v>
      </c>
      <c r="J714" s="6">
        <f>H714*I714</f>
        <v>1500</v>
      </c>
    </row>
    <row r="715" spans="2:10" ht="20.100000000000001" customHeight="1" x14ac:dyDescent="0.25">
      <c r="B715" s="4">
        <v>45042</v>
      </c>
      <c r="C715" s="8" t="str">
        <f>"Ord-04-23-"&amp;TEXT(ROW(C132),"000")</f>
        <v>Ord-04-23-132</v>
      </c>
      <c r="D715" s="6" t="s">
        <v>15</v>
      </c>
      <c r="E715" s="10" t="s">
        <v>31</v>
      </c>
      <c r="F715" s="10" t="s">
        <v>48</v>
      </c>
      <c r="G715" s="10" t="s">
        <v>82</v>
      </c>
      <c r="H715" s="10">
        <v>8500</v>
      </c>
      <c r="I715" s="6">
        <v>2</v>
      </c>
      <c r="J715" s="6">
        <f>H715*I715</f>
        <v>17000</v>
      </c>
    </row>
    <row r="716" spans="2:10" ht="20.100000000000001" customHeight="1" x14ac:dyDescent="0.25">
      <c r="B716" s="4">
        <v>45042</v>
      </c>
      <c r="C716" s="8" t="str">
        <f>"Ord-04-23-"&amp;TEXT(ROW(C133),"000")</f>
        <v>Ord-04-23-133</v>
      </c>
      <c r="D716" s="6" t="s">
        <v>26</v>
      </c>
      <c r="E716" s="10" t="s">
        <v>29</v>
      </c>
      <c r="F716" s="10" t="s">
        <v>39</v>
      </c>
      <c r="G716" s="10" t="s">
        <v>60</v>
      </c>
      <c r="H716" s="10">
        <v>1500</v>
      </c>
      <c r="I716" s="6">
        <v>2</v>
      </c>
      <c r="J716" s="6">
        <f>H716*I716</f>
        <v>3000</v>
      </c>
    </row>
    <row r="717" spans="2:10" ht="20.100000000000001" customHeight="1" x14ac:dyDescent="0.25">
      <c r="B717" s="4">
        <v>45042</v>
      </c>
      <c r="C717" s="8" t="str">
        <f>"Ord-04-23-"&amp;TEXT(ROW(C134),"000")</f>
        <v>Ord-04-23-134</v>
      </c>
      <c r="D717" s="6" t="s">
        <v>16</v>
      </c>
      <c r="E717" s="10" t="s">
        <v>27</v>
      </c>
      <c r="F717" s="10" t="s">
        <v>42</v>
      </c>
      <c r="G717" s="10" t="s">
        <v>42</v>
      </c>
      <c r="H717" s="10">
        <v>2500</v>
      </c>
      <c r="I717" s="6">
        <v>4</v>
      </c>
      <c r="J717" s="6">
        <f>H717*I717</f>
        <v>10000</v>
      </c>
    </row>
    <row r="718" spans="2:10" ht="20.100000000000001" customHeight="1" x14ac:dyDescent="0.25">
      <c r="B718" s="4">
        <v>45042</v>
      </c>
      <c r="C718" s="8" t="str">
        <f>"Ord-04-23-"&amp;TEXT(ROW(C135),"000")</f>
        <v>Ord-04-23-135</v>
      </c>
      <c r="D718" s="6" t="s">
        <v>23</v>
      </c>
      <c r="E718" s="10" t="s">
        <v>27</v>
      </c>
      <c r="F718" s="10" t="s">
        <v>37</v>
      </c>
      <c r="G718" s="10" t="s">
        <v>54</v>
      </c>
      <c r="H718" s="10">
        <v>5000</v>
      </c>
      <c r="I718" s="6">
        <v>2</v>
      </c>
      <c r="J718" s="6">
        <f>H718*I718</f>
        <v>10000</v>
      </c>
    </row>
    <row r="719" spans="2:10" ht="20.100000000000001" customHeight="1" x14ac:dyDescent="0.25">
      <c r="B719" s="4">
        <v>45043</v>
      </c>
      <c r="C719" s="8" t="str">
        <f>"Ord-04-23-"&amp;TEXT(ROW(C136),"000")</f>
        <v>Ord-04-23-136</v>
      </c>
      <c r="D719" s="6" t="s">
        <v>26</v>
      </c>
      <c r="E719" s="10" t="s">
        <v>28</v>
      </c>
      <c r="F719" s="10" t="s">
        <v>28</v>
      </c>
      <c r="G719" s="10" t="s">
        <v>55</v>
      </c>
      <c r="H719" s="10">
        <v>750</v>
      </c>
      <c r="I719" s="6">
        <v>3</v>
      </c>
      <c r="J719" s="6">
        <f>H719*I719</f>
        <v>2250</v>
      </c>
    </row>
    <row r="720" spans="2:10" ht="20.100000000000001" customHeight="1" x14ac:dyDescent="0.25">
      <c r="B720" s="4">
        <v>45043</v>
      </c>
      <c r="C720" s="8" t="str">
        <f>"Ord-04-23-"&amp;TEXT(ROW(C137),"000")</f>
        <v>Ord-04-23-137</v>
      </c>
      <c r="D720" s="6" t="s">
        <v>24</v>
      </c>
      <c r="E720" s="10" t="s">
        <v>32</v>
      </c>
      <c r="F720" s="10" t="s">
        <v>51</v>
      </c>
      <c r="G720" s="10" t="s">
        <v>80</v>
      </c>
      <c r="H720" s="10">
        <v>5500</v>
      </c>
      <c r="I720" s="6">
        <v>2</v>
      </c>
      <c r="J720" s="6">
        <f>H720*I720</f>
        <v>11000</v>
      </c>
    </row>
    <row r="721" spans="2:10" ht="20.100000000000001" customHeight="1" x14ac:dyDescent="0.25">
      <c r="B721" s="4">
        <v>45043</v>
      </c>
      <c r="C721" s="8" t="str">
        <f>"Ord-04-23-"&amp;TEXT(ROW(C138),"000")</f>
        <v>Ord-04-23-138</v>
      </c>
      <c r="D721" s="6" t="s">
        <v>23</v>
      </c>
      <c r="E721" s="10" t="s">
        <v>31</v>
      </c>
      <c r="F721" s="10" t="s">
        <v>45</v>
      </c>
      <c r="G721" s="10" t="s">
        <v>59</v>
      </c>
      <c r="H721" s="10">
        <v>4000</v>
      </c>
      <c r="I721" s="6">
        <v>3</v>
      </c>
      <c r="J721" s="6">
        <f>H721*I721</f>
        <v>12000</v>
      </c>
    </row>
    <row r="722" spans="2:10" ht="20.100000000000001" customHeight="1" x14ac:dyDescent="0.25">
      <c r="B722" s="4">
        <v>45043</v>
      </c>
      <c r="C722" s="8" t="str">
        <f>"Ord-04-23-"&amp;TEXT(ROW(C139),"000")</f>
        <v>Ord-04-23-139</v>
      </c>
      <c r="D722" s="6" t="s">
        <v>21</v>
      </c>
      <c r="E722" s="10" t="s">
        <v>30</v>
      </c>
      <c r="F722" s="10" t="s">
        <v>90</v>
      </c>
      <c r="G722" s="10" t="s">
        <v>86</v>
      </c>
      <c r="H722" s="10">
        <v>7500</v>
      </c>
      <c r="I722" s="6">
        <v>2</v>
      </c>
      <c r="J722" s="6">
        <f>H722*I722</f>
        <v>15000</v>
      </c>
    </row>
    <row r="723" spans="2:10" ht="20.100000000000001" customHeight="1" x14ac:dyDescent="0.25">
      <c r="B723" s="4">
        <v>45043</v>
      </c>
      <c r="C723" s="8" t="str">
        <f>"Ord-04-23-"&amp;TEXT(ROW(C140),"000")</f>
        <v>Ord-04-23-140</v>
      </c>
      <c r="D723" s="6" t="s">
        <v>9</v>
      </c>
      <c r="E723" s="10" t="s">
        <v>27</v>
      </c>
      <c r="F723" s="10" t="s">
        <v>38</v>
      </c>
      <c r="G723" s="10" t="s">
        <v>54</v>
      </c>
      <c r="H723" s="10">
        <v>5200</v>
      </c>
      <c r="I723" s="6">
        <v>4</v>
      </c>
      <c r="J723" s="6">
        <f>H723*I723</f>
        <v>20800</v>
      </c>
    </row>
    <row r="724" spans="2:10" ht="20.100000000000001" customHeight="1" x14ac:dyDescent="0.25">
      <c r="B724" s="4">
        <v>45044</v>
      </c>
      <c r="C724" s="8" t="str">
        <f>"Ord-04-23-"&amp;TEXT(ROW(C141),"000")</f>
        <v>Ord-04-23-141</v>
      </c>
      <c r="D724" s="6" t="s">
        <v>21</v>
      </c>
      <c r="E724" s="10" t="s">
        <v>35</v>
      </c>
      <c r="F724" s="12" t="s">
        <v>90</v>
      </c>
      <c r="G724" s="10" t="s">
        <v>58</v>
      </c>
      <c r="H724" s="10">
        <v>7500</v>
      </c>
      <c r="I724" s="6">
        <v>5</v>
      </c>
      <c r="J724" s="6">
        <f>H724*I724</f>
        <v>37500</v>
      </c>
    </row>
    <row r="725" spans="2:10" ht="20.100000000000001" customHeight="1" x14ac:dyDescent="0.25">
      <c r="B725" s="4">
        <v>45044</v>
      </c>
      <c r="C725" s="8" t="str">
        <f>"Ord-04-23-"&amp;TEXT(ROW(C142),"000")</f>
        <v>Ord-04-23-142</v>
      </c>
      <c r="D725" s="6" t="s">
        <v>11</v>
      </c>
      <c r="E725" s="10" t="s">
        <v>33</v>
      </c>
      <c r="F725" s="10" t="s">
        <v>47</v>
      </c>
      <c r="G725" s="10" t="s">
        <v>65</v>
      </c>
      <c r="H725" s="10">
        <v>25</v>
      </c>
      <c r="I725" s="6">
        <v>500</v>
      </c>
      <c r="J725" s="6">
        <f>H725*I725</f>
        <v>12500</v>
      </c>
    </row>
    <row r="726" spans="2:10" ht="20.100000000000001" customHeight="1" x14ac:dyDescent="0.25">
      <c r="B726" s="4">
        <v>45044</v>
      </c>
      <c r="C726" s="8" t="str">
        <f>"Ord-04-23-"&amp;TEXT(ROW(C143),"000")</f>
        <v>Ord-04-23-143</v>
      </c>
      <c r="D726" s="6" t="s">
        <v>11</v>
      </c>
      <c r="E726" s="10" t="s">
        <v>31</v>
      </c>
      <c r="F726" s="10" t="s">
        <v>43</v>
      </c>
      <c r="G726" s="10" t="s">
        <v>69</v>
      </c>
      <c r="H726" s="10">
        <v>4800</v>
      </c>
      <c r="I726" s="6">
        <v>1</v>
      </c>
      <c r="J726" s="6">
        <f>H726*I726</f>
        <v>4800</v>
      </c>
    </row>
    <row r="727" spans="2:10" ht="20.100000000000001" customHeight="1" x14ac:dyDescent="0.25">
      <c r="B727" s="4">
        <v>45044</v>
      </c>
      <c r="C727" s="8" t="str">
        <f>"Ord-04-23-"&amp;TEXT(ROW(C144),"000")</f>
        <v>Ord-04-23-144</v>
      </c>
      <c r="D727" s="6" t="s">
        <v>25</v>
      </c>
      <c r="E727" s="10" t="s">
        <v>29</v>
      </c>
      <c r="F727" s="10" t="s">
        <v>40</v>
      </c>
      <c r="G727" s="10" t="s">
        <v>84</v>
      </c>
      <c r="H727" s="10">
        <v>7500</v>
      </c>
      <c r="I727" s="6">
        <v>2</v>
      </c>
      <c r="J727" s="6">
        <f>H727*I727</f>
        <v>15000</v>
      </c>
    </row>
    <row r="728" spans="2:10" ht="20.100000000000001" customHeight="1" x14ac:dyDescent="0.25">
      <c r="B728" s="4">
        <v>45044</v>
      </c>
      <c r="C728" s="8" t="str">
        <f>"Ord-04-23-"&amp;TEXT(ROW(C145),"000")</f>
        <v>Ord-04-23-145</v>
      </c>
      <c r="D728" s="6" t="s">
        <v>16</v>
      </c>
      <c r="E728" s="10" t="s">
        <v>27</v>
      </c>
      <c r="F728" s="10" t="s">
        <v>38</v>
      </c>
      <c r="G728" s="10" t="s">
        <v>54</v>
      </c>
      <c r="H728" s="10">
        <v>5200</v>
      </c>
      <c r="I728" s="6">
        <v>2</v>
      </c>
      <c r="J728" s="6">
        <f>H728*I728</f>
        <v>10400</v>
      </c>
    </row>
    <row r="729" spans="2:10" ht="20.100000000000001" customHeight="1" x14ac:dyDescent="0.25">
      <c r="B729" s="4">
        <v>45045</v>
      </c>
      <c r="C729" s="8" t="str">
        <f>"Ord-04-23-"&amp;TEXT(ROW(C146),"000")</f>
        <v>Ord-04-23-146</v>
      </c>
      <c r="D729" s="6" t="s">
        <v>11</v>
      </c>
      <c r="E729" s="10" t="s">
        <v>32</v>
      </c>
      <c r="F729" s="10" t="s">
        <v>51</v>
      </c>
      <c r="G729" s="10" t="s">
        <v>81</v>
      </c>
      <c r="H729" s="10">
        <v>3000</v>
      </c>
      <c r="I729" s="6">
        <v>5</v>
      </c>
      <c r="J729" s="6">
        <f>H729*I729</f>
        <v>15000</v>
      </c>
    </row>
    <row r="730" spans="2:10" ht="20.100000000000001" customHeight="1" x14ac:dyDescent="0.25">
      <c r="B730" s="4">
        <v>45045</v>
      </c>
      <c r="C730" s="8" t="str">
        <f>"Ord-04-23-"&amp;TEXT(ROW(C147),"000")</f>
        <v>Ord-04-23-147</v>
      </c>
      <c r="D730" s="6" t="s">
        <v>17</v>
      </c>
      <c r="E730" s="10" t="s">
        <v>33</v>
      </c>
      <c r="F730" s="10" t="s">
        <v>46</v>
      </c>
      <c r="G730" s="10" t="s">
        <v>65</v>
      </c>
      <c r="H730" s="10">
        <v>15</v>
      </c>
      <c r="I730" s="6">
        <v>200</v>
      </c>
      <c r="J730" s="6">
        <f>H730*I730</f>
        <v>3000</v>
      </c>
    </row>
    <row r="731" spans="2:10" ht="20.100000000000001" customHeight="1" x14ac:dyDescent="0.25">
      <c r="B731" s="4">
        <v>45045</v>
      </c>
      <c r="C731" s="8" t="str">
        <f>"Ord-04-23-"&amp;TEXT(ROW(C148),"000")</f>
        <v>Ord-04-23-148</v>
      </c>
      <c r="D731" s="6" t="s">
        <v>13</v>
      </c>
      <c r="E731" s="10" t="s">
        <v>31</v>
      </c>
      <c r="F731" s="10" t="s">
        <v>52</v>
      </c>
      <c r="G731" s="10" t="s">
        <v>69</v>
      </c>
      <c r="H731" s="10">
        <v>4900</v>
      </c>
      <c r="I731" s="6">
        <v>4</v>
      </c>
      <c r="J731" s="6">
        <f>H731*I731</f>
        <v>19600</v>
      </c>
    </row>
    <row r="732" spans="2:10" ht="20.100000000000001" customHeight="1" x14ac:dyDescent="0.25">
      <c r="B732" s="4">
        <v>45045</v>
      </c>
      <c r="C732" s="8" t="str">
        <f>"Ord-04-23-"&amp;TEXT(ROW(C149),"000")</f>
        <v>Ord-04-23-149</v>
      </c>
      <c r="D732" s="6" t="s">
        <v>19</v>
      </c>
      <c r="E732" s="10" t="s">
        <v>27</v>
      </c>
      <c r="F732" s="10" t="s">
        <v>42</v>
      </c>
      <c r="G732" s="10" t="s">
        <v>42</v>
      </c>
      <c r="H732" s="10">
        <v>2500</v>
      </c>
      <c r="I732" s="6">
        <v>5</v>
      </c>
      <c r="J732" s="6">
        <f>H732*I732</f>
        <v>12500</v>
      </c>
    </row>
    <row r="733" spans="2:10" ht="20.100000000000001" customHeight="1" x14ac:dyDescent="0.25">
      <c r="B733" s="4">
        <v>45045</v>
      </c>
      <c r="C733" s="8" t="str">
        <f>"Ord-04-23-"&amp;TEXT(ROW(C150),"000")</f>
        <v>Ord-04-23-150</v>
      </c>
      <c r="D733" s="6" t="s">
        <v>7</v>
      </c>
      <c r="E733" s="10" t="s">
        <v>27</v>
      </c>
      <c r="F733" s="10" t="s">
        <v>38</v>
      </c>
      <c r="G733" s="10" t="s">
        <v>53</v>
      </c>
      <c r="H733" s="10">
        <v>5500</v>
      </c>
      <c r="I733" s="6">
        <v>4</v>
      </c>
      <c r="J733" s="6">
        <f>H733*I733</f>
        <v>22000</v>
      </c>
    </row>
    <row r="734" spans="2:10" ht="20.100000000000001" customHeight="1" x14ac:dyDescent="0.25">
      <c r="B734" s="4">
        <v>45046</v>
      </c>
      <c r="C734" s="8" t="str">
        <f>"Ord-04-23-"&amp;TEXT(ROW(C151),"000")</f>
        <v>Ord-04-23-151</v>
      </c>
      <c r="D734" s="6" t="s">
        <v>9</v>
      </c>
      <c r="E734" s="10" t="s">
        <v>29</v>
      </c>
      <c r="F734" s="10" t="s">
        <v>39</v>
      </c>
      <c r="G734" s="10" t="s">
        <v>56</v>
      </c>
      <c r="H734" s="10">
        <v>2500</v>
      </c>
      <c r="I734" s="6">
        <v>2</v>
      </c>
      <c r="J734" s="6">
        <f>H734*I734</f>
        <v>5000</v>
      </c>
    </row>
    <row r="735" spans="2:10" ht="20.100000000000001" customHeight="1" x14ac:dyDescent="0.25">
      <c r="B735" s="4">
        <v>45046</v>
      </c>
      <c r="C735" s="8" t="str">
        <f>"Ord-04-23-"&amp;TEXT(ROW(C152),"000")</f>
        <v>Ord-04-23-152</v>
      </c>
      <c r="D735" s="6" t="s">
        <v>9</v>
      </c>
      <c r="E735" s="10" t="s">
        <v>30</v>
      </c>
      <c r="F735" s="10" t="s">
        <v>90</v>
      </c>
      <c r="G735" s="10" t="s">
        <v>59</v>
      </c>
      <c r="H735" s="10">
        <v>4800</v>
      </c>
      <c r="I735" s="6">
        <v>4</v>
      </c>
      <c r="J735" s="6">
        <f>H735*I735</f>
        <v>19200</v>
      </c>
    </row>
    <row r="736" spans="2:10" ht="20.100000000000001" customHeight="1" x14ac:dyDescent="0.25">
      <c r="B736" s="4">
        <v>45046</v>
      </c>
      <c r="C736" s="8" t="str">
        <f>"Ord-04-23-"&amp;TEXT(ROW(C153),"000")</f>
        <v>Ord-04-23-153</v>
      </c>
      <c r="D736" s="6" t="s">
        <v>13</v>
      </c>
      <c r="E736" s="10" t="s">
        <v>27</v>
      </c>
      <c r="F736" s="10" t="s">
        <v>50</v>
      </c>
      <c r="G736" s="10" t="s">
        <v>54</v>
      </c>
      <c r="H736" s="10">
        <v>3200</v>
      </c>
      <c r="I736" s="6">
        <v>5</v>
      </c>
      <c r="J736" s="6">
        <f>H736*I736</f>
        <v>16000</v>
      </c>
    </row>
    <row r="737" spans="2:10" ht="20.100000000000001" customHeight="1" x14ac:dyDescent="0.25">
      <c r="B737" s="4">
        <v>45046</v>
      </c>
      <c r="C737" s="8" t="str">
        <f>"Ord-04-23-"&amp;TEXT(ROW(C154),"000")</f>
        <v>Ord-04-23-154</v>
      </c>
      <c r="D737" s="6" t="s">
        <v>20</v>
      </c>
      <c r="E737" s="10" t="s">
        <v>27</v>
      </c>
      <c r="F737" s="10" t="s">
        <v>38</v>
      </c>
      <c r="G737" s="10" t="s">
        <v>54</v>
      </c>
      <c r="H737" s="10">
        <v>5200</v>
      </c>
      <c r="I737" s="6">
        <v>3</v>
      </c>
      <c r="J737" s="6">
        <f>H737*I737</f>
        <v>15600</v>
      </c>
    </row>
    <row r="738" spans="2:10" ht="20.100000000000001" customHeight="1" x14ac:dyDescent="0.25">
      <c r="B738" s="4">
        <v>45046</v>
      </c>
      <c r="C738" s="8" t="str">
        <f>"Ord-04-23-"&amp;TEXT(ROW(C155),"000")</f>
        <v>Ord-04-23-155</v>
      </c>
      <c r="D738" s="6" t="s">
        <v>21</v>
      </c>
      <c r="E738" s="10" t="s">
        <v>27</v>
      </c>
      <c r="F738" s="10" t="s">
        <v>37</v>
      </c>
      <c r="G738" s="10" t="s">
        <v>53</v>
      </c>
      <c r="H738" s="10">
        <v>5200</v>
      </c>
      <c r="I738" s="6">
        <v>3</v>
      </c>
      <c r="J738" s="6">
        <f>H738*I738</f>
        <v>15600</v>
      </c>
    </row>
    <row r="739" spans="2:10" ht="20.100000000000001" customHeight="1" x14ac:dyDescent="0.25">
      <c r="B739" s="4">
        <v>45047</v>
      </c>
      <c r="C739" s="8" t="str">
        <f>"Ord-05-23-"&amp;TEXT(ROW(C1),"000")</f>
        <v>Ord-05-23-001</v>
      </c>
      <c r="D739" s="6" t="s">
        <v>24</v>
      </c>
      <c r="E739" s="10" t="s">
        <v>33</v>
      </c>
      <c r="F739" s="10" t="s">
        <v>47</v>
      </c>
      <c r="G739" s="10" t="s">
        <v>65</v>
      </c>
      <c r="H739" s="10">
        <v>25</v>
      </c>
      <c r="I739" s="6">
        <v>150</v>
      </c>
      <c r="J739" s="6">
        <f>H739*I739</f>
        <v>3750</v>
      </c>
    </row>
    <row r="740" spans="2:10" ht="20.100000000000001" customHeight="1" x14ac:dyDescent="0.25">
      <c r="B740" s="4">
        <v>45047</v>
      </c>
      <c r="C740" s="8" t="str">
        <f>"Ord-05-23-"&amp;TEXT(ROW(C2),"000")</f>
        <v>Ord-05-23-002</v>
      </c>
      <c r="D740" s="6" t="s">
        <v>21</v>
      </c>
      <c r="E740" s="10" t="s">
        <v>33</v>
      </c>
      <c r="F740" s="10" t="s">
        <v>46</v>
      </c>
      <c r="G740" s="10" t="s">
        <v>65</v>
      </c>
      <c r="H740" s="10">
        <v>15</v>
      </c>
      <c r="I740" s="6">
        <v>100</v>
      </c>
      <c r="J740" s="6">
        <f>H740*I740</f>
        <v>1500</v>
      </c>
    </row>
    <row r="741" spans="2:10" ht="20.100000000000001" customHeight="1" x14ac:dyDescent="0.25">
      <c r="B741" s="4">
        <v>45047</v>
      </c>
      <c r="C741" s="8" t="str">
        <f>"Ord-05-23-"&amp;TEXT(ROW(C3),"000")</f>
        <v>Ord-05-23-003</v>
      </c>
      <c r="D741" s="6" t="s">
        <v>10</v>
      </c>
      <c r="E741" s="10" t="s">
        <v>31</v>
      </c>
      <c r="F741" s="10" t="s">
        <v>52</v>
      </c>
      <c r="G741" s="10" t="s">
        <v>66</v>
      </c>
      <c r="H741" s="10">
        <v>3200</v>
      </c>
      <c r="I741" s="6">
        <v>2</v>
      </c>
      <c r="J741" s="6">
        <f>H741*I741</f>
        <v>6400</v>
      </c>
    </row>
    <row r="742" spans="2:10" ht="20.100000000000001" customHeight="1" x14ac:dyDescent="0.25">
      <c r="B742" s="4">
        <v>45047</v>
      </c>
      <c r="C742" s="8" t="str">
        <f>"Ord-05-23-"&amp;TEXT(ROW(C4),"000")</f>
        <v>Ord-05-23-004</v>
      </c>
      <c r="D742" s="6" t="s">
        <v>20</v>
      </c>
      <c r="E742" s="10" t="s">
        <v>31</v>
      </c>
      <c r="F742" s="10" t="s">
        <v>52</v>
      </c>
      <c r="G742" s="10" t="s">
        <v>69</v>
      </c>
      <c r="H742" s="10">
        <v>3500</v>
      </c>
      <c r="I742" s="6">
        <v>3</v>
      </c>
      <c r="J742" s="6">
        <f>H742*I742</f>
        <v>10500</v>
      </c>
    </row>
    <row r="743" spans="2:10" ht="20.100000000000001" customHeight="1" x14ac:dyDescent="0.25">
      <c r="B743" s="4">
        <v>45047</v>
      </c>
      <c r="C743" s="8" t="str">
        <f>"Ord-05-23-"&amp;TEXT(ROW(C5),"000")</f>
        <v>Ord-05-23-005</v>
      </c>
      <c r="D743" s="6" t="s">
        <v>26</v>
      </c>
      <c r="E743" s="10" t="s">
        <v>27</v>
      </c>
      <c r="F743" s="10" t="s">
        <v>37</v>
      </c>
      <c r="G743" s="10" t="s">
        <v>64</v>
      </c>
      <c r="H743" s="10">
        <v>4500</v>
      </c>
      <c r="I743" s="6">
        <v>4</v>
      </c>
      <c r="J743" s="6">
        <f>H743*I743</f>
        <v>18000</v>
      </c>
    </row>
    <row r="744" spans="2:10" ht="20.100000000000001" customHeight="1" x14ac:dyDescent="0.25">
      <c r="B744" s="4">
        <v>45048</v>
      </c>
      <c r="C744" s="8" t="str">
        <f>"Ord-05-23-"&amp;TEXT(ROW(C6),"000")</f>
        <v>Ord-05-23-006</v>
      </c>
      <c r="D744" s="6" t="s">
        <v>11</v>
      </c>
      <c r="E744" s="10" t="s">
        <v>32</v>
      </c>
      <c r="F744" s="10" t="s">
        <v>44</v>
      </c>
      <c r="G744" s="10" t="s">
        <v>62</v>
      </c>
      <c r="H744" s="10">
        <v>1200</v>
      </c>
      <c r="I744" s="6">
        <v>2</v>
      </c>
      <c r="J744" s="6">
        <f>H744*I744</f>
        <v>2400</v>
      </c>
    </row>
    <row r="745" spans="2:10" ht="20.100000000000001" customHeight="1" x14ac:dyDescent="0.25">
      <c r="B745" s="4">
        <v>45048</v>
      </c>
      <c r="C745" s="8" t="str">
        <f>"Ord-05-23-"&amp;TEXT(ROW(C7),"000")</f>
        <v>Ord-05-23-007</v>
      </c>
      <c r="D745" s="6" t="s">
        <v>13</v>
      </c>
      <c r="E745" s="10" t="s">
        <v>31</v>
      </c>
      <c r="F745" s="10" t="s">
        <v>45</v>
      </c>
      <c r="G745" s="10" t="s">
        <v>59</v>
      </c>
      <c r="H745" s="10">
        <v>4000</v>
      </c>
      <c r="I745" s="6">
        <v>3</v>
      </c>
      <c r="J745" s="6">
        <f>H745*I745</f>
        <v>12000</v>
      </c>
    </row>
    <row r="746" spans="2:10" ht="20.100000000000001" customHeight="1" x14ac:dyDescent="0.25">
      <c r="B746" s="4">
        <v>45048</v>
      </c>
      <c r="C746" s="8" t="str">
        <f>"Ord-05-23-"&amp;TEXT(ROW(C8),"000")</f>
        <v>Ord-05-23-008</v>
      </c>
      <c r="D746" s="6" t="s">
        <v>20</v>
      </c>
      <c r="E746" s="10" t="s">
        <v>29</v>
      </c>
      <c r="F746" s="10" t="s">
        <v>39</v>
      </c>
      <c r="G746" s="10" t="s">
        <v>60</v>
      </c>
      <c r="H746" s="10">
        <v>1500</v>
      </c>
      <c r="I746" s="6">
        <v>5</v>
      </c>
      <c r="J746" s="6">
        <f>H746*I746</f>
        <v>7500</v>
      </c>
    </row>
    <row r="747" spans="2:10" ht="20.100000000000001" customHeight="1" x14ac:dyDescent="0.25">
      <c r="B747" s="4">
        <v>45048</v>
      </c>
      <c r="C747" s="8" t="str">
        <f>"Ord-05-23-"&amp;TEXT(ROW(C9),"000")</f>
        <v>Ord-05-23-009</v>
      </c>
      <c r="D747" s="6" t="s">
        <v>7</v>
      </c>
      <c r="E747" s="10" t="s">
        <v>29</v>
      </c>
      <c r="F747" s="10" t="s">
        <v>39</v>
      </c>
      <c r="G747" s="10" t="s">
        <v>56</v>
      </c>
      <c r="H747" s="10">
        <v>2500</v>
      </c>
      <c r="I747" s="6">
        <v>2</v>
      </c>
      <c r="J747" s="6">
        <f>H747*I747</f>
        <v>5000</v>
      </c>
    </row>
    <row r="748" spans="2:10" ht="20.100000000000001" customHeight="1" x14ac:dyDescent="0.25">
      <c r="B748" s="4">
        <v>45048</v>
      </c>
      <c r="C748" s="8" t="str">
        <f>"Ord-05-23-"&amp;TEXT(ROW(C10),"000")</f>
        <v>Ord-05-23-010</v>
      </c>
      <c r="D748" s="6" t="s">
        <v>15</v>
      </c>
      <c r="E748" s="10" t="s">
        <v>27</v>
      </c>
      <c r="F748" s="10" t="s">
        <v>37</v>
      </c>
      <c r="G748" s="10" t="s">
        <v>53</v>
      </c>
      <c r="H748" s="10">
        <v>5200</v>
      </c>
      <c r="I748" s="6">
        <v>2</v>
      </c>
      <c r="J748" s="6">
        <f>H748*I748</f>
        <v>10400</v>
      </c>
    </row>
    <row r="749" spans="2:10" ht="20.100000000000001" customHeight="1" x14ac:dyDescent="0.25">
      <c r="B749" s="4">
        <v>45049</v>
      </c>
      <c r="C749" s="8" t="str">
        <f>"Ord-05-23-"&amp;TEXT(ROW(C11),"000")</f>
        <v>Ord-05-23-011</v>
      </c>
      <c r="D749" s="6" t="s">
        <v>9</v>
      </c>
      <c r="E749" s="10" t="s">
        <v>28</v>
      </c>
      <c r="F749" s="10" t="s">
        <v>28</v>
      </c>
      <c r="G749" s="10" t="s">
        <v>77</v>
      </c>
      <c r="H749" s="10">
        <v>1200</v>
      </c>
      <c r="I749" s="6">
        <v>3</v>
      </c>
      <c r="J749" s="6">
        <f>H749*I749</f>
        <v>3600</v>
      </c>
    </row>
    <row r="750" spans="2:10" ht="20.100000000000001" customHeight="1" x14ac:dyDescent="0.25">
      <c r="B750" s="4">
        <v>45049</v>
      </c>
      <c r="C750" s="8" t="str">
        <f>"Ord-05-23-"&amp;TEXT(ROW(C12),"000")</f>
        <v>Ord-05-23-012</v>
      </c>
      <c r="D750" s="6" t="s">
        <v>23</v>
      </c>
      <c r="E750" s="10" t="s">
        <v>33</v>
      </c>
      <c r="F750" s="10" t="s">
        <v>47</v>
      </c>
      <c r="G750" s="10" t="s">
        <v>65</v>
      </c>
      <c r="H750" s="10">
        <v>25</v>
      </c>
      <c r="I750" s="6">
        <v>400</v>
      </c>
      <c r="J750" s="6">
        <f>H750*I750</f>
        <v>10000</v>
      </c>
    </row>
    <row r="751" spans="2:10" ht="20.100000000000001" customHeight="1" x14ac:dyDescent="0.25">
      <c r="B751" s="4">
        <v>45049</v>
      </c>
      <c r="C751" s="8" t="str">
        <f>"Ord-05-23-"&amp;TEXT(ROW(C13),"000")</f>
        <v>Ord-05-23-013</v>
      </c>
      <c r="D751" s="6" t="s">
        <v>12</v>
      </c>
      <c r="E751" s="10" t="s">
        <v>33</v>
      </c>
      <c r="F751" s="10" t="s">
        <v>46</v>
      </c>
      <c r="G751" s="10" t="s">
        <v>65</v>
      </c>
      <c r="H751" s="10">
        <v>15</v>
      </c>
      <c r="I751" s="6">
        <v>260</v>
      </c>
      <c r="J751" s="6">
        <f>H751*I751</f>
        <v>3900</v>
      </c>
    </row>
    <row r="752" spans="2:10" ht="20.100000000000001" customHeight="1" x14ac:dyDescent="0.25">
      <c r="B752" s="4">
        <v>45049</v>
      </c>
      <c r="C752" s="8" t="str">
        <f>"Ord-05-23-"&amp;TEXT(ROW(C14),"000")</f>
        <v>Ord-05-23-014</v>
      </c>
      <c r="D752" s="6" t="s">
        <v>17</v>
      </c>
      <c r="E752" s="10" t="s">
        <v>31</v>
      </c>
      <c r="F752" s="10" t="s">
        <v>52</v>
      </c>
      <c r="G752" s="10" t="s">
        <v>59</v>
      </c>
      <c r="H752" s="10">
        <v>3500</v>
      </c>
      <c r="I752" s="6">
        <v>1</v>
      </c>
      <c r="J752" s="6">
        <f>H752*I752</f>
        <v>3500</v>
      </c>
    </row>
    <row r="753" spans="2:10" ht="20.100000000000001" customHeight="1" x14ac:dyDescent="0.25">
      <c r="B753" s="4">
        <v>45049</v>
      </c>
      <c r="C753" s="8" t="str">
        <f>"Ord-05-23-"&amp;TEXT(ROW(C15),"000")</f>
        <v>Ord-05-23-015</v>
      </c>
      <c r="D753" s="6" t="s">
        <v>24</v>
      </c>
      <c r="E753" s="10" t="s">
        <v>29</v>
      </c>
      <c r="F753" s="10" t="s">
        <v>40</v>
      </c>
      <c r="G753" s="10" t="s">
        <v>57</v>
      </c>
      <c r="H753" s="10">
        <v>4000</v>
      </c>
      <c r="I753" s="6">
        <v>4</v>
      </c>
      <c r="J753" s="6">
        <f>H753*I753</f>
        <v>16000</v>
      </c>
    </row>
    <row r="754" spans="2:10" ht="20.100000000000001" customHeight="1" x14ac:dyDescent="0.25">
      <c r="B754" s="4">
        <v>45050</v>
      </c>
      <c r="C754" s="8" t="str">
        <f>"Ord-05-23-"&amp;TEXT(ROW(C16),"000")</f>
        <v>Ord-05-23-016</v>
      </c>
      <c r="D754" s="6" t="s">
        <v>26</v>
      </c>
      <c r="E754" s="10" t="s">
        <v>35</v>
      </c>
      <c r="F754" s="12" t="s">
        <v>90</v>
      </c>
      <c r="G754" s="10" t="s">
        <v>58</v>
      </c>
      <c r="H754" s="10">
        <v>7500</v>
      </c>
      <c r="I754" s="6">
        <v>4</v>
      </c>
      <c r="J754" s="6">
        <f>H754*I754</f>
        <v>30000</v>
      </c>
    </row>
    <row r="755" spans="2:10" ht="20.100000000000001" customHeight="1" x14ac:dyDescent="0.25">
      <c r="B755" s="4">
        <v>45050</v>
      </c>
      <c r="C755" s="8" t="str">
        <f>"Ord-05-23-"&amp;TEXT(ROW(C17),"000")</f>
        <v>Ord-05-23-017</v>
      </c>
      <c r="D755" s="6" t="s">
        <v>9</v>
      </c>
      <c r="E755" s="10" t="s">
        <v>28</v>
      </c>
      <c r="F755" s="10" t="s">
        <v>28</v>
      </c>
      <c r="G755" s="10" t="s">
        <v>55</v>
      </c>
      <c r="H755" s="10">
        <v>750</v>
      </c>
      <c r="I755" s="6">
        <v>2</v>
      </c>
      <c r="J755" s="6">
        <f>H755*I755</f>
        <v>1500</v>
      </c>
    </row>
    <row r="756" spans="2:10" ht="20.100000000000001" customHeight="1" x14ac:dyDescent="0.25">
      <c r="B756" s="4">
        <v>45050</v>
      </c>
      <c r="C756" s="8" t="str">
        <f>"Ord-05-23-"&amp;TEXT(ROW(C18),"000")</f>
        <v>Ord-05-23-018</v>
      </c>
      <c r="D756" s="6" t="s">
        <v>17</v>
      </c>
      <c r="E756" s="10" t="s">
        <v>29</v>
      </c>
      <c r="F756" s="10" t="s">
        <v>40</v>
      </c>
      <c r="G756" s="10" t="s">
        <v>84</v>
      </c>
      <c r="H756" s="10">
        <v>7500</v>
      </c>
      <c r="I756" s="6">
        <v>5</v>
      </c>
      <c r="J756" s="6">
        <f>H756*I756</f>
        <v>37500</v>
      </c>
    </row>
    <row r="757" spans="2:10" ht="20.100000000000001" customHeight="1" x14ac:dyDescent="0.25">
      <c r="B757" s="4">
        <v>45050</v>
      </c>
      <c r="C757" s="8" t="str">
        <f>"Ord-05-23-"&amp;TEXT(ROW(C19),"000")</f>
        <v>Ord-05-23-019</v>
      </c>
      <c r="D757" s="6" t="s">
        <v>13</v>
      </c>
      <c r="E757" s="10" t="s">
        <v>29</v>
      </c>
      <c r="F757" s="10" t="s">
        <v>39</v>
      </c>
      <c r="G757" s="10" t="s">
        <v>60</v>
      </c>
      <c r="H757" s="10">
        <v>1500</v>
      </c>
      <c r="I757" s="6">
        <v>5</v>
      </c>
      <c r="J757" s="6">
        <f>H757*I757</f>
        <v>7500</v>
      </c>
    </row>
    <row r="758" spans="2:10" ht="20.100000000000001" customHeight="1" x14ac:dyDescent="0.25">
      <c r="B758" s="4">
        <v>45050</v>
      </c>
      <c r="C758" s="8" t="str">
        <f>"Ord-05-23-"&amp;TEXT(ROW(C20),"000")</f>
        <v>Ord-05-23-020</v>
      </c>
      <c r="D758" s="6" t="s">
        <v>9</v>
      </c>
      <c r="E758" s="10" t="s">
        <v>27</v>
      </c>
      <c r="F758" s="10" t="s">
        <v>37</v>
      </c>
      <c r="G758" s="10" t="s">
        <v>54</v>
      </c>
      <c r="H758" s="10">
        <v>5000</v>
      </c>
      <c r="I758" s="6">
        <v>4</v>
      </c>
      <c r="J758" s="6">
        <f>H758*I758</f>
        <v>20000</v>
      </c>
    </row>
    <row r="759" spans="2:10" ht="20.100000000000001" customHeight="1" x14ac:dyDescent="0.25">
      <c r="B759" s="4">
        <v>45051</v>
      </c>
      <c r="C759" s="8" t="str">
        <f>"Ord-05-23-"&amp;TEXT(ROW(C21),"000")</f>
        <v>Ord-05-23-021</v>
      </c>
      <c r="D759" s="6" t="s">
        <v>12</v>
      </c>
      <c r="E759" s="10" t="s">
        <v>33</v>
      </c>
      <c r="F759" s="10" t="s">
        <v>46</v>
      </c>
      <c r="G759" s="10" t="s">
        <v>65</v>
      </c>
      <c r="H759" s="10">
        <v>15</v>
      </c>
      <c r="I759" s="6">
        <v>360</v>
      </c>
      <c r="J759" s="6">
        <f>H759*I759</f>
        <v>5400</v>
      </c>
    </row>
    <row r="760" spans="2:10" ht="20.100000000000001" customHeight="1" x14ac:dyDescent="0.25">
      <c r="B760" s="4">
        <v>45051</v>
      </c>
      <c r="C760" s="8" t="str">
        <f>"Ord-05-23-"&amp;TEXT(ROW(C22),"000")</f>
        <v>Ord-05-23-022</v>
      </c>
      <c r="D760" s="6" t="s">
        <v>23</v>
      </c>
      <c r="E760" s="10" t="s">
        <v>29</v>
      </c>
      <c r="F760" s="10" t="s">
        <v>39</v>
      </c>
      <c r="G760" s="10" t="s">
        <v>60</v>
      </c>
      <c r="H760" s="10">
        <v>1500</v>
      </c>
      <c r="I760" s="6">
        <v>4</v>
      </c>
      <c r="J760" s="6">
        <f>H760*I760</f>
        <v>6000</v>
      </c>
    </row>
    <row r="761" spans="2:10" ht="20.100000000000001" customHeight="1" x14ac:dyDescent="0.25">
      <c r="B761" s="4">
        <v>45051</v>
      </c>
      <c r="C761" s="8" t="str">
        <f>"Ord-05-23-"&amp;TEXT(ROW(C23),"000")</f>
        <v>Ord-05-23-023</v>
      </c>
      <c r="D761" s="6" t="s">
        <v>16</v>
      </c>
      <c r="E761" s="10" t="s">
        <v>27</v>
      </c>
      <c r="F761" s="10" t="s">
        <v>42</v>
      </c>
      <c r="G761" s="10" t="s">
        <v>42</v>
      </c>
      <c r="H761" s="10">
        <v>2500</v>
      </c>
      <c r="I761" s="6">
        <v>2</v>
      </c>
      <c r="J761" s="6">
        <f>H761*I761</f>
        <v>5000</v>
      </c>
    </row>
    <row r="762" spans="2:10" ht="20.100000000000001" customHeight="1" x14ac:dyDescent="0.25">
      <c r="B762" s="4">
        <v>45051</v>
      </c>
      <c r="C762" s="8" t="str">
        <f>"Ord-05-23-"&amp;TEXT(ROW(C24),"000")</f>
        <v>Ord-05-23-024</v>
      </c>
      <c r="D762" s="6" t="s">
        <v>22</v>
      </c>
      <c r="E762" s="10" t="s">
        <v>27</v>
      </c>
      <c r="F762" s="10" t="s">
        <v>50</v>
      </c>
      <c r="G762" s="10" t="s">
        <v>64</v>
      </c>
      <c r="H762" s="10">
        <v>3000</v>
      </c>
      <c r="I762" s="6">
        <v>2</v>
      </c>
      <c r="J762" s="6">
        <f>H762*I762</f>
        <v>6000</v>
      </c>
    </row>
    <row r="763" spans="2:10" ht="20.100000000000001" customHeight="1" x14ac:dyDescent="0.25">
      <c r="B763" s="4">
        <v>45051</v>
      </c>
      <c r="C763" s="8" t="str">
        <f>"Ord-05-23-"&amp;TEXT(ROW(C25),"000")</f>
        <v>Ord-05-23-025</v>
      </c>
      <c r="D763" s="6" t="s">
        <v>22</v>
      </c>
      <c r="E763" s="10" t="s">
        <v>27</v>
      </c>
      <c r="F763" s="10" t="s">
        <v>37</v>
      </c>
      <c r="G763" s="10" t="s">
        <v>64</v>
      </c>
      <c r="H763" s="10">
        <v>4500</v>
      </c>
      <c r="I763" s="6">
        <v>5</v>
      </c>
      <c r="J763" s="6">
        <f>H763*I763</f>
        <v>22500</v>
      </c>
    </row>
    <row r="764" spans="2:10" ht="20.100000000000001" customHeight="1" x14ac:dyDescent="0.25">
      <c r="B764" s="4">
        <v>45052</v>
      </c>
      <c r="C764" s="8" t="str">
        <f>"Ord-05-23-"&amp;TEXT(ROW(C26),"000")</f>
        <v>Ord-05-23-026</v>
      </c>
      <c r="D764" s="6" t="s">
        <v>22</v>
      </c>
      <c r="E764" s="10" t="s">
        <v>33</v>
      </c>
      <c r="F764" s="10" t="s">
        <v>47</v>
      </c>
      <c r="G764" s="10" t="s">
        <v>65</v>
      </c>
      <c r="H764" s="10">
        <v>25</v>
      </c>
      <c r="I764" s="6">
        <v>200</v>
      </c>
      <c r="J764" s="6">
        <f>H764*I764</f>
        <v>5000</v>
      </c>
    </row>
    <row r="765" spans="2:10" ht="20.100000000000001" customHeight="1" x14ac:dyDescent="0.25">
      <c r="B765" s="4">
        <v>45052</v>
      </c>
      <c r="C765" s="8" t="str">
        <f>"Ord-05-23-"&amp;TEXT(ROW(C27),"000")</f>
        <v>Ord-05-23-027</v>
      </c>
      <c r="D765" s="6" t="s">
        <v>12</v>
      </c>
      <c r="E765" s="10" t="s">
        <v>33</v>
      </c>
      <c r="F765" s="10" t="s">
        <v>46</v>
      </c>
      <c r="G765" s="10" t="s">
        <v>65</v>
      </c>
      <c r="H765" s="10">
        <v>15</v>
      </c>
      <c r="I765" s="6">
        <v>400</v>
      </c>
      <c r="J765" s="6">
        <f>H765*I765</f>
        <v>6000</v>
      </c>
    </row>
    <row r="766" spans="2:10" ht="20.100000000000001" customHeight="1" x14ac:dyDescent="0.25">
      <c r="B766" s="4">
        <v>45052</v>
      </c>
      <c r="C766" s="8" t="str">
        <f>"Ord-05-23-"&amp;TEXT(ROW(C28),"000")</f>
        <v>Ord-05-23-028</v>
      </c>
      <c r="D766" s="6" t="s">
        <v>23</v>
      </c>
      <c r="E766" s="10" t="s">
        <v>29</v>
      </c>
      <c r="F766" s="10" t="s">
        <v>39</v>
      </c>
      <c r="G766" s="10" t="s">
        <v>56</v>
      </c>
      <c r="H766" s="10">
        <v>2500</v>
      </c>
      <c r="I766" s="6">
        <v>4</v>
      </c>
      <c r="J766" s="6">
        <f>H766*I766</f>
        <v>10000</v>
      </c>
    </row>
    <row r="767" spans="2:10" ht="20.100000000000001" customHeight="1" x14ac:dyDescent="0.25">
      <c r="B767" s="4">
        <v>45052</v>
      </c>
      <c r="C767" s="8" t="str">
        <f>"Ord-05-23-"&amp;TEXT(ROW(C29),"000")</f>
        <v>Ord-05-23-029</v>
      </c>
      <c r="D767" s="6" t="s">
        <v>25</v>
      </c>
      <c r="E767" s="10" t="s">
        <v>29</v>
      </c>
      <c r="F767" s="10" t="s">
        <v>39</v>
      </c>
      <c r="G767" s="10" t="s">
        <v>56</v>
      </c>
      <c r="H767" s="10">
        <v>2500</v>
      </c>
      <c r="I767" s="6">
        <v>4</v>
      </c>
      <c r="J767" s="6">
        <f>H767*I767</f>
        <v>10000</v>
      </c>
    </row>
    <row r="768" spans="2:10" ht="20.100000000000001" customHeight="1" x14ac:dyDescent="0.25">
      <c r="B768" s="4">
        <v>45052</v>
      </c>
      <c r="C768" s="8" t="str">
        <f>"Ord-05-23-"&amp;TEXT(ROW(C30),"000")</f>
        <v>Ord-05-23-030</v>
      </c>
      <c r="D768" s="6" t="s">
        <v>23</v>
      </c>
      <c r="E768" s="10" t="s">
        <v>27</v>
      </c>
      <c r="F768" s="10" t="s">
        <v>41</v>
      </c>
      <c r="G768" s="10" t="s">
        <v>64</v>
      </c>
      <c r="H768" s="10">
        <v>2500</v>
      </c>
      <c r="I768" s="6">
        <v>3</v>
      </c>
      <c r="J768" s="6">
        <f>H768*I768</f>
        <v>7500</v>
      </c>
    </row>
    <row r="769" spans="2:10" ht="20.100000000000001" customHeight="1" x14ac:dyDescent="0.25">
      <c r="B769" s="4">
        <v>45053</v>
      </c>
      <c r="C769" s="8" t="str">
        <f>"Ord-05-23-"&amp;TEXT(ROW(C31),"000")</f>
        <v>Ord-05-23-031</v>
      </c>
      <c r="D769" s="6" t="s">
        <v>22</v>
      </c>
      <c r="E769" s="10" t="s">
        <v>28</v>
      </c>
      <c r="F769" s="10" t="s">
        <v>28</v>
      </c>
      <c r="G769" s="10" t="s">
        <v>79</v>
      </c>
      <c r="H769" s="13">
        <v>600</v>
      </c>
      <c r="I769" s="6">
        <v>4</v>
      </c>
      <c r="J769" s="6">
        <f>H769*I769</f>
        <v>2400</v>
      </c>
    </row>
    <row r="770" spans="2:10" ht="20.100000000000001" customHeight="1" x14ac:dyDescent="0.25">
      <c r="B770" s="4">
        <v>45053</v>
      </c>
      <c r="C770" s="8" t="str">
        <f>"Ord-05-23-"&amp;TEXT(ROW(C32),"000")</f>
        <v>Ord-05-23-032</v>
      </c>
      <c r="D770" s="6" t="s">
        <v>24</v>
      </c>
      <c r="E770" s="10" t="s">
        <v>33</v>
      </c>
      <c r="F770" s="10" t="s">
        <v>46</v>
      </c>
      <c r="G770" s="10" t="s">
        <v>65</v>
      </c>
      <c r="H770" s="10">
        <v>15</v>
      </c>
      <c r="I770" s="6">
        <v>350</v>
      </c>
      <c r="J770" s="6">
        <f>H770*I770</f>
        <v>5250</v>
      </c>
    </row>
    <row r="771" spans="2:10" ht="20.100000000000001" customHeight="1" x14ac:dyDescent="0.25">
      <c r="B771" s="4">
        <v>45053</v>
      </c>
      <c r="C771" s="8" t="str">
        <f>"Ord-05-23-"&amp;TEXT(ROW(C33),"000")</f>
        <v>Ord-05-23-033</v>
      </c>
      <c r="D771" s="6" t="s">
        <v>20</v>
      </c>
      <c r="E771" s="10" t="s">
        <v>31</v>
      </c>
      <c r="F771" s="10" t="s">
        <v>48</v>
      </c>
      <c r="G771" s="10" t="s">
        <v>66</v>
      </c>
      <c r="H771" s="13">
        <v>3500</v>
      </c>
      <c r="I771" s="7">
        <v>4</v>
      </c>
      <c r="J771" s="6">
        <f>H771*I771</f>
        <v>14000</v>
      </c>
    </row>
    <row r="772" spans="2:10" ht="20.100000000000001" customHeight="1" x14ac:dyDescent="0.25">
      <c r="B772" s="4">
        <v>45053</v>
      </c>
      <c r="C772" s="8" t="str">
        <f>"Ord-05-23-"&amp;TEXT(ROW(C34),"000")</f>
        <v>Ord-05-23-034</v>
      </c>
      <c r="D772" s="6" t="s">
        <v>18</v>
      </c>
      <c r="E772" s="10" t="s">
        <v>31</v>
      </c>
      <c r="F772" s="10" t="s">
        <v>48</v>
      </c>
      <c r="G772" s="10" t="s">
        <v>59</v>
      </c>
      <c r="H772" s="13">
        <v>4000</v>
      </c>
      <c r="I772" s="6">
        <v>5</v>
      </c>
      <c r="J772" s="6">
        <f>H772*I772</f>
        <v>20000</v>
      </c>
    </row>
    <row r="773" spans="2:10" ht="20.100000000000001" customHeight="1" x14ac:dyDescent="0.25">
      <c r="B773" s="4">
        <v>45053</v>
      </c>
      <c r="C773" s="8" t="str">
        <f>"Ord-05-23-"&amp;TEXT(ROW(C35),"000")</f>
        <v>Ord-05-23-035</v>
      </c>
      <c r="D773" s="6" t="s">
        <v>18</v>
      </c>
      <c r="E773" s="10" t="s">
        <v>29</v>
      </c>
      <c r="F773" s="10" t="s">
        <v>40</v>
      </c>
      <c r="G773" s="10" t="s">
        <v>84</v>
      </c>
      <c r="H773" s="10">
        <v>7500</v>
      </c>
      <c r="I773" s="6">
        <v>4</v>
      </c>
      <c r="J773" s="6">
        <f>H773*I773</f>
        <v>30000</v>
      </c>
    </row>
    <row r="774" spans="2:10" ht="20.100000000000001" customHeight="1" x14ac:dyDescent="0.25">
      <c r="B774" s="4">
        <v>45053</v>
      </c>
      <c r="C774" s="8" t="str">
        <f>"Ord-05-23-"&amp;TEXT(ROW(C36),"000")</f>
        <v>Ord-05-23-036</v>
      </c>
      <c r="D774" s="6" t="s">
        <v>15</v>
      </c>
      <c r="E774" s="10" t="s">
        <v>29</v>
      </c>
      <c r="F774" s="10" t="s">
        <v>40</v>
      </c>
      <c r="G774" s="10" t="s">
        <v>84</v>
      </c>
      <c r="H774" s="13">
        <v>7500</v>
      </c>
      <c r="I774" s="7">
        <v>4</v>
      </c>
      <c r="J774" s="6">
        <f>H774*I774</f>
        <v>30000</v>
      </c>
    </row>
    <row r="775" spans="2:10" ht="20.100000000000001" customHeight="1" x14ac:dyDescent="0.25">
      <c r="B775" s="4">
        <v>45053</v>
      </c>
      <c r="C775" s="8" t="str">
        <f>"Ord-05-23-"&amp;TEXT(ROW(C37),"000")</f>
        <v>Ord-05-23-037</v>
      </c>
      <c r="D775" s="6" t="s">
        <v>17</v>
      </c>
      <c r="E775" s="10" t="s">
        <v>27</v>
      </c>
      <c r="F775" s="10" t="s">
        <v>42</v>
      </c>
      <c r="G775" s="10" t="s">
        <v>42</v>
      </c>
      <c r="H775" s="10">
        <v>2500</v>
      </c>
      <c r="I775" s="6">
        <v>1</v>
      </c>
      <c r="J775" s="6">
        <f>H775*I775</f>
        <v>2500</v>
      </c>
    </row>
    <row r="776" spans="2:10" ht="20.100000000000001" customHeight="1" x14ac:dyDescent="0.25">
      <c r="B776" s="4">
        <v>45053</v>
      </c>
      <c r="C776" s="8" t="str">
        <f>"Ord-05-23-"&amp;TEXT(ROW(C38),"000")</f>
        <v>Ord-05-23-038</v>
      </c>
      <c r="D776" s="6" t="s">
        <v>16</v>
      </c>
      <c r="E776" s="10" t="s">
        <v>27</v>
      </c>
      <c r="F776" s="10" t="s">
        <v>37</v>
      </c>
      <c r="G776" s="10" t="s">
        <v>64</v>
      </c>
      <c r="H776" s="13">
        <v>4500</v>
      </c>
      <c r="I776" s="7">
        <v>4</v>
      </c>
      <c r="J776" s="6">
        <f>H776*I776</f>
        <v>18000</v>
      </c>
    </row>
    <row r="777" spans="2:10" ht="20.100000000000001" customHeight="1" x14ac:dyDescent="0.25">
      <c r="B777" s="4">
        <v>45053</v>
      </c>
      <c r="C777" s="8" t="str">
        <f>"Ord-05-23-"&amp;TEXT(ROW(C39),"000")</f>
        <v>Ord-05-23-039</v>
      </c>
      <c r="D777" s="6" t="s">
        <v>10</v>
      </c>
      <c r="E777" s="10" t="s">
        <v>27</v>
      </c>
      <c r="F777" s="10" t="s">
        <v>41</v>
      </c>
      <c r="G777" s="10" t="s">
        <v>54</v>
      </c>
      <c r="H777" s="10">
        <v>2800</v>
      </c>
      <c r="I777" s="6">
        <v>4</v>
      </c>
      <c r="J777" s="6">
        <f>H777*I777</f>
        <v>11200</v>
      </c>
    </row>
    <row r="778" spans="2:10" ht="20.100000000000001" customHeight="1" x14ac:dyDescent="0.25">
      <c r="B778" s="4">
        <v>45053</v>
      </c>
      <c r="C778" s="8" t="str">
        <f>"Ord-05-23-"&amp;TEXT(ROW(C40),"000")</f>
        <v>Ord-05-23-040</v>
      </c>
      <c r="D778" s="6" t="s">
        <v>23</v>
      </c>
      <c r="E778" s="10" t="s">
        <v>34</v>
      </c>
      <c r="F778" s="10" t="s">
        <v>49</v>
      </c>
      <c r="G778" s="10" t="s">
        <v>75</v>
      </c>
      <c r="H778" s="13">
        <v>4300</v>
      </c>
      <c r="I778" s="7">
        <v>1</v>
      </c>
      <c r="J778" s="6">
        <f>H778*I778</f>
        <v>4300</v>
      </c>
    </row>
    <row r="779" spans="2:10" ht="20.100000000000001" customHeight="1" x14ac:dyDescent="0.25">
      <c r="B779" s="4">
        <v>45054</v>
      </c>
      <c r="C779" s="8" t="str">
        <f>"Ord-05-23-"&amp;TEXT(ROW(C41),"000")</f>
        <v>Ord-05-23-041</v>
      </c>
      <c r="D779" s="6" t="s">
        <v>19</v>
      </c>
      <c r="E779" s="10" t="s">
        <v>31</v>
      </c>
      <c r="F779" s="10" t="s">
        <v>52</v>
      </c>
      <c r="G779" s="10" t="s">
        <v>59</v>
      </c>
      <c r="H779" s="10">
        <v>3500</v>
      </c>
      <c r="I779" s="6">
        <v>1</v>
      </c>
      <c r="J779" s="6">
        <f>H779*I779</f>
        <v>3500</v>
      </c>
    </row>
    <row r="780" spans="2:10" ht="20.100000000000001" customHeight="1" x14ac:dyDescent="0.25">
      <c r="B780" s="4">
        <v>45054</v>
      </c>
      <c r="C780" s="8" t="str">
        <f>"Ord-05-23-"&amp;TEXT(ROW(C42),"000")</f>
        <v>Ord-05-23-042</v>
      </c>
      <c r="D780" s="6" t="s">
        <v>24</v>
      </c>
      <c r="E780" s="10" t="s">
        <v>36</v>
      </c>
      <c r="F780" s="10" t="s">
        <v>36</v>
      </c>
      <c r="G780" s="10" t="s">
        <v>41</v>
      </c>
      <c r="H780" s="10">
        <v>2000</v>
      </c>
      <c r="I780" s="6">
        <v>5</v>
      </c>
      <c r="J780" s="6">
        <f>H780*I780</f>
        <v>10000</v>
      </c>
    </row>
    <row r="781" spans="2:10" ht="20.100000000000001" customHeight="1" x14ac:dyDescent="0.25">
      <c r="B781" s="4">
        <v>45054</v>
      </c>
      <c r="C781" s="8" t="str">
        <f>"Ord-05-23-"&amp;TEXT(ROW(C43),"000")</f>
        <v>Ord-05-23-043</v>
      </c>
      <c r="D781" s="6" t="s">
        <v>25</v>
      </c>
      <c r="E781" s="10" t="s">
        <v>27</v>
      </c>
      <c r="F781" s="10" t="s">
        <v>42</v>
      </c>
      <c r="G781" s="10" t="s">
        <v>42</v>
      </c>
      <c r="H781" s="10">
        <v>2500</v>
      </c>
      <c r="I781" s="6">
        <v>3</v>
      </c>
      <c r="J781" s="6">
        <f>H781*I781</f>
        <v>7500</v>
      </c>
    </row>
    <row r="782" spans="2:10" ht="20.100000000000001" customHeight="1" x14ac:dyDescent="0.25">
      <c r="B782" s="4">
        <v>45054</v>
      </c>
      <c r="C782" s="8" t="str">
        <f>"Ord-05-23-"&amp;TEXT(ROW(C44),"000")</f>
        <v>Ord-05-23-044</v>
      </c>
      <c r="D782" s="6" t="s">
        <v>18</v>
      </c>
      <c r="E782" s="10" t="s">
        <v>27</v>
      </c>
      <c r="F782" s="10" t="s">
        <v>50</v>
      </c>
      <c r="G782" s="10" t="s">
        <v>53</v>
      </c>
      <c r="H782" s="10">
        <v>3500</v>
      </c>
      <c r="I782" s="6">
        <v>2</v>
      </c>
      <c r="J782" s="6">
        <f>H782*I782</f>
        <v>7000</v>
      </c>
    </row>
    <row r="783" spans="2:10" ht="20.100000000000001" customHeight="1" x14ac:dyDescent="0.25">
      <c r="B783" s="4">
        <v>45054</v>
      </c>
      <c r="C783" s="8" t="str">
        <f>"Ord-05-23-"&amp;TEXT(ROW(C45),"000")</f>
        <v>Ord-05-23-045</v>
      </c>
      <c r="D783" s="6" t="s">
        <v>19</v>
      </c>
      <c r="E783" s="10" t="s">
        <v>27</v>
      </c>
      <c r="F783" s="10" t="s">
        <v>41</v>
      </c>
      <c r="G783" s="10" t="s">
        <v>54</v>
      </c>
      <c r="H783" s="10">
        <v>2800</v>
      </c>
      <c r="I783" s="6">
        <v>4</v>
      </c>
      <c r="J783" s="6">
        <f>H783*I783</f>
        <v>11200</v>
      </c>
    </row>
    <row r="784" spans="2:10" ht="20.100000000000001" customHeight="1" x14ac:dyDescent="0.25">
      <c r="B784" s="4">
        <v>45055</v>
      </c>
      <c r="C784" s="8" t="str">
        <f>"Ord-05-23-"&amp;TEXT(ROW(C46),"000")</f>
        <v>Ord-05-23-046</v>
      </c>
      <c r="D784" s="6" t="s">
        <v>25</v>
      </c>
      <c r="E784" s="10" t="s">
        <v>28</v>
      </c>
      <c r="F784" s="10" t="s">
        <v>28</v>
      </c>
      <c r="G784" s="10" t="s">
        <v>77</v>
      </c>
      <c r="H784" s="10">
        <v>1200</v>
      </c>
      <c r="I784" s="6">
        <v>5</v>
      </c>
      <c r="J784" s="6">
        <f>H784*I784</f>
        <v>6000</v>
      </c>
    </row>
    <row r="785" spans="2:10" ht="20.100000000000001" customHeight="1" x14ac:dyDescent="0.25">
      <c r="B785" s="4">
        <v>45055</v>
      </c>
      <c r="C785" s="8" t="str">
        <f>"Ord-05-23-"&amp;TEXT(ROW(C47),"000")</f>
        <v>Ord-05-23-047</v>
      </c>
      <c r="D785" s="6" t="s">
        <v>25</v>
      </c>
      <c r="E785" s="10" t="s">
        <v>32</v>
      </c>
      <c r="F785" s="10" t="s">
        <v>44</v>
      </c>
      <c r="G785" s="10" t="s">
        <v>72</v>
      </c>
      <c r="H785" s="10">
        <v>2200</v>
      </c>
      <c r="I785" s="6">
        <v>3</v>
      </c>
      <c r="J785" s="6">
        <f>H785*I785</f>
        <v>6600</v>
      </c>
    </row>
    <row r="786" spans="2:10" ht="20.100000000000001" customHeight="1" x14ac:dyDescent="0.25">
      <c r="B786" s="4">
        <v>45055</v>
      </c>
      <c r="C786" s="8" t="str">
        <f>"Ord-05-23-"&amp;TEXT(ROW(C48),"000")</f>
        <v>Ord-05-23-048</v>
      </c>
      <c r="D786" s="6" t="s">
        <v>15</v>
      </c>
      <c r="E786" s="10" t="s">
        <v>31</v>
      </c>
      <c r="F786" s="10" t="s">
        <v>52</v>
      </c>
      <c r="G786" s="10" t="s">
        <v>76</v>
      </c>
      <c r="H786" s="10">
        <v>2800</v>
      </c>
      <c r="I786" s="6">
        <v>1</v>
      </c>
      <c r="J786" s="6">
        <f>H786*I786</f>
        <v>2800</v>
      </c>
    </row>
    <row r="787" spans="2:10" ht="20.100000000000001" customHeight="1" x14ac:dyDescent="0.25">
      <c r="B787" s="4">
        <v>45055</v>
      </c>
      <c r="C787" s="8" t="str">
        <f>"Ord-05-23-"&amp;TEXT(ROW(C49),"000")</f>
        <v>Ord-05-23-049</v>
      </c>
      <c r="D787" s="6" t="s">
        <v>9</v>
      </c>
      <c r="E787" s="10" t="s">
        <v>36</v>
      </c>
      <c r="F787" s="10" t="s">
        <v>36</v>
      </c>
      <c r="G787" s="10" t="s">
        <v>78</v>
      </c>
      <c r="H787" s="10">
        <v>2500</v>
      </c>
      <c r="I787" s="6">
        <v>5</v>
      </c>
      <c r="J787" s="6">
        <f>H787*I787</f>
        <v>12500</v>
      </c>
    </row>
    <row r="788" spans="2:10" ht="20.100000000000001" customHeight="1" x14ac:dyDescent="0.25">
      <c r="B788" s="4">
        <v>45055</v>
      </c>
      <c r="C788" s="8" t="str">
        <f>"Ord-05-23-"&amp;TEXT(ROW(C50),"000")</f>
        <v>Ord-05-23-050</v>
      </c>
      <c r="D788" s="6" t="s">
        <v>15</v>
      </c>
      <c r="E788" s="10" t="s">
        <v>34</v>
      </c>
      <c r="F788" s="10" t="s">
        <v>49</v>
      </c>
      <c r="G788" s="10" t="s">
        <v>68</v>
      </c>
      <c r="H788" s="10">
        <v>4000</v>
      </c>
      <c r="I788" s="6">
        <v>3</v>
      </c>
      <c r="J788" s="6">
        <f>H788*I788</f>
        <v>12000</v>
      </c>
    </row>
    <row r="789" spans="2:10" ht="20.100000000000001" customHeight="1" x14ac:dyDescent="0.25">
      <c r="B789" s="4">
        <v>45056</v>
      </c>
      <c r="C789" s="8" t="str">
        <f>"Ord-05-23-"&amp;TEXT(ROW(C51),"000")</f>
        <v>Ord-05-23-051</v>
      </c>
      <c r="D789" s="6" t="s">
        <v>20</v>
      </c>
      <c r="E789" s="10" t="s">
        <v>35</v>
      </c>
      <c r="F789" s="12" t="s">
        <v>90</v>
      </c>
      <c r="G789" s="10" t="s">
        <v>58</v>
      </c>
      <c r="H789" s="10">
        <v>7500</v>
      </c>
      <c r="I789" s="6">
        <v>2</v>
      </c>
      <c r="J789" s="6">
        <f>H789*I789</f>
        <v>15000</v>
      </c>
    </row>
    <row r="790" spans="2:10" ht="20.100000000000001" customHeight="1" x14ac:dyDescent="0.25">
      <c r="B790" s="4">
        <v>45056</v>
      </c>
      <c r="C790" s="8" t="str">
        <f>"Ord-05-23-"&amp;TEXT(ROW(C52),"000")</f>
        <v>Ord-05-23-052</v>
      </c>
      <c r="D790" s="6" t="s">
        <v>22</v>
      </c>
      <c r="E790" s="10" t="s">
        <v>33</v>
      </c>
      <c r="F790" s="10" t="s">
        <v>46</v>
      </c>
      <c r="G790" s="10" t="s">
        <v>65</v>
      </c>
      <c r="H790" s="10">
        <v>15</v>
      </c>
      <c r="I790" s="6">
        <v>250</v>
      </c>
      <c r="J790" s="6">
        <f>H790*I790</f>
        <v>3750</v>
      </c>
    </row>
    <row r="791" spans="2:10" ht="20.100000000000001" customHeight="1" x14ac:dyDescent="0.25">
      <c r="B791" s="4">
        <v>45056</v>
      </c>
      <c r="C791" s="8" t="str">
        <f>"Ord-05-23-"&amp;TEXT(ROW(C53),"000")</f>
        <v>Ord-05-23-053</v>
      </c>
      <c r="D791" s="6" t="s">
        <v>18</v>
      </c>
      <c r="E791" s="10" t="s">
        <v>31</v>
      </c>
      <c r="F791" s="10" t="s">
        <v>52</v>
      </c>
      <c r="G791" s="10" t="s">
        <v>59</v>
      </c>
      <c r="H791" s="10">
        <v>3500</v>
      </c>
      <c r="I791" s="6">
        <v>3</v>
      </c>
      <c r="J791" s="6">
        <f>H791*I791</f>
        <v>10500</v>
      </c>
    </row>
    <row r="792" spans="2:10" ht="20.100000000000001" customHeight="1" x14ac:dyDescent="0.25">
      <c r="B792" s="4">
        <v>45056</v>
      </c>
      <c r="C792" s="8" t="str">
        <f>"Ord-05-23-"&amp;TEXT(ROW(C54),"000")</f>
        <v>Ord-05-23-054</v>
      </c>
      <c r="D792" s="6" t="s">
        <v>17</v>
      </c>
      <c r="E792" s="10" t="s">
        <v>36</v>
      </c>
      <c r="F792" s="10" t="s">
        <v>36</v>
      </c>
      <c r="G792" s="10" t="s">
        <v>85</v>
      </c>
      <c r="H792" s="10">
        <v>2200</v>
      </c>
      <c r="I792" s="6">
        <v>2</v>
      </c>
      <c r="J792" s="6">
        <f>H792*I792</f>
        <v>4400</v>
      </c>
    </row>
    <row r="793" spans="2:10" ht="20.100000000000001" customHeight="1" x14ac:dyDescent="0.25">
      <c r="B793" s="4">
        <v>45056</v>
      </c>
      <c r="C793" s="8" t="str">
        <f>"Ord-05-23-"&amp;TEXT(ROW(C55),"000")</f>
        <v>Ord-05-23-055</v>
      </c>
      <c r="D793" s="6" t="s">
        <v>10</v>
      </c>
      <c r="E793" s="10" t="s">
        <v>29</v>
      </c>
      <c r="F793" s="10" t="s">
        <v>40</v>
      </c>
      <c r="G793" s="10" t="s">
        <v>57</v>
      </c>
      <c r="H793" s="10">
        <v>4000</v>
      </c>
      <c r="I793" s="6">
        <v>4</v>
      </c>
      <c r="J793" s="6">
        <f>H793*I793</f>
        <v>16000</v>
      </c>
    </row>
    <row r="794" spans="2:10" ht="20.100000000000001" customHeight="1" x14ac:dyDescent="0.25">
      <c r="B794" s="4">
        <v>45057</v>
      </c>
      <c r="C794" s="8" t="str">
        <f>"Ord-05-23-"&amp;TEXT(ROW(C56),"000")</f>
        <v>Ord-05-23-056</v>
      </c>
      <c r="D794" s="6" t="s">
        <v>25</v>
      </c>
      <c r="E794" s="10" t="s">
        <v>35</v>
      </c>
      <c r="F794" s="12" t="s">
        <v>90</v>
      </c>
      <c r="G794" s="10" t="s">
        <v>58</v>
      </c>
      <c r="H794" s="10">
        <v>7500</v>
      </c>
      <c r="I794" s="6">
        <v>1</v>
      </c>
      <c r="J794" s="6">
        <f>H794*I794</f>
        <v>7500</v>
      </c>
    </row>
    <row r="795" spans="2:10" ht="20.100000000000001" customHeight="1" x14ac:dyDescent="0.25">
      <c r="B795" s="4">
        <v>45057</v>
      </c>
      <c r="C795" s="8" t="str">
        <f>"Ord-05-23-"&amp;TEXT(ROW(C57),"000")</f>
        <v>Ord-05-23-057</v>
      </c>
      <c r="D795" s="6" t="s">
        <v>10</v>
      </c>
      <c r="E795" s="10" t="s">
        <v>32</v>
      </c>
      <c r="F795" s="10" t="s">
        <v>44</v>
      </c>
      <c r="G795" s="10" t="s">
        <v>72</v>
      </c>
      <c r="H795" s="10">
        <v>2200</v>
      </c>
      <c r="I795" s="6">
        <v>4</v>
      </c>
      <c r="J795" s="6">
        <f>H795*I795</f>
        <v>8800</v>
      </c>
    </row>
    <row r="796" spans="2:10" ht="20.100000000000001" customHeight="1" x14ac:dyDescent="0.25">
      <c r="B796" s="4">
        <v>45057</v>
      </c>
      <c r="C796" s="8" t="str">
        <f>"Ord-05-23-"&amp;TEXT(ROW(C58),"000")</f>
        <v>Ord-05-23-058</v>
      </c>
      <c r="D796" s="6" t="s">
        <v>26</v>
      </c>
      <c r="E796" s="10" t="s">
        <v>27</v>
      </c>
      <c r="F796" s="10" t="s">
        <v>37</v>
      </c>
      <c r="G796" s="10" t="s">
        <v>54</v>
      </c>
      <c r="H796" s="10">
        <v>5000</v>
      </c>
      <c r="I796" s="6">
        <v>2</v>
      </c>
      <c r="J796" s="6">
        <f>H796*I796</f>
        <v>10000</v>
      </c>
    </row>
    <row r="797" spans="2:10" ht="20.100000000000001" customHeight="1" x14ac:dyDescent="0.25">
      <c r="B797" s="4">
        <v>45057</v>
      </c>
      <c r="C797" s="8" t="str">
        <f>"Ord-05-23-"&amp;TEXT(ROW(C59),"000")</f>
        <v>Ord-05-23-059</v>
      </c>
      <c r="D797" s="6" t="s">
        <v>10</v>
      </c>
      <c r="E797" s="10" t="s">
        <v>34</v>
      </c>
      <c r="F797" s="10" t="s">
        <v>49</v>
      </c>
      <c r="G797" s="10" t="s">
        <v>68</v>
      </c>
      <c r="H797" s="10">
        <v>4000</v>
      </c>
      <c r="I797" s="6">
        <v>3</v>
      </c>
      <c r="J797" s="6">
        <f>H797*I797</f>
        <v>12000</v>
      </c>
    </row>
    <row r="798" spans="2:10" ht="20.100000000000001" customHeight="1" x14ac:dyDescent="0.25">
      <c r="B798" s="4">
        <v>45057</v>
      </c>
      <c r="C798" s="8" t="str">
        <f>"Ord-05-23-"&amp;TEXT(ROW(C60),"000")</f>
        <v>Ord-05-23-060</v>
      </c>
      <c r="D798" s="6" t="s">
        <v>21</v>
      </c>
      <c r="E798" s="10" t="s">
        <v>34</v>
      </c>
      <c r="F798" s="10" t="s">
        <v>49</v>
      </c>
      <c r="G798" s="10" t="s">
        <v>68</v>
      </c>
      <c r="H798" s="10">
        <v>4000</v>
      </c>
      <c r="I798" s="6">
        <v>4</v>
      </c>
      <c r="J798" s="6">
        <f>H798*I798</f>
        <v>16000</v>
      </c>
    </row>
    <row r="799" spans="2:10" ht="20.100000000000001" customHeight="1" x14ac:dyDescent="0.25">
      <c r="B799" s="4">
        <v>45058</v>
      </c>
      <c r="C799" s="8" t="str">
        <f>"Ord-05-23-"&amp;TEXT(ROW(C61),"000")</f>
        <v>Ord-05-23-061</v>
      </c>
      <c r="D799" s="6" t="s">
        <v>14</v>
      </c>
      <c r="E799" s="10" t="s">
        <v>32</v>
      </c>
      <c r="F799" s="10" t="s">
        <v>44</v>
      </c>
      <c r="G799" s="10" t="s">
        <v>72</v>
      </c>
      <c r="H799" s="10">
        <v>2200</v>
      </c>
      <c r="I799" s="6">
        <v>5</v>
      </c>
      <c r="J799" s="6">
        <f>H799*I799</f>
        <v>11000</v>
      </c>
    </row>
    <row r="800" spans="2:10" ht="20.100000000000001" customHeight="1" x14ac:dyDescent="0.25">
      <c r="B800" s="4">
        <v>45058</v>
      </c>
      <c r="C800" s="8" t="str">
        <f>"Ord-05-23-"&amp;TEXT(ROW(C62),"000")</f>
        <v>Ord-05-23-062</v>
      </c>
      <c r="D800" s="6" t="s">
        <v>25</v>
      </c>
      <c r="E800" s="10" t="s">
        <v>33</v>
      </c>
      <c r="F800" s="10" t="s">
        <v>47</v>
      </c>
      <c r="G800" s="10" t="s">
        <v>65</v>
      </c>
      <c r="H800" s="10">
        <v>25</v>
      </c>
      <c r="I800" s="6">
        <v>400</v>
      </c>
      <c r="J800" s="6">
        <f>H800*I800</f>
        <v>10000</v>
      </c>
    </row>
    <row r="801" spans="2:10" ht="20.100000000000001" customHeight="1" x14ac:dyDescent="0.25">
      <c r="B801" s="4">
        <v>45058</v>
      </c>
      <c r="C801" s="8" t="str">
        <f>"Ord-05-23-"&amp;TEXT(ROW(C63),"000")</f>
        <v>Ord-05-23-063</v>
      </c>
      <c r="D801" s="6" t="s">
        <v>12</v>
      </c>
      <c r="E801" s="10" t="s">
        <v>31</v>
      </c>
      <c r="F801" s="10" t="s">
        <v>45</v>
      </c>
      <c r="G801" s="10" t="s">
        <v>66</v>
      </c>
      <c r="H801" s="10">
        <v>2300</v>
      </c>
      <c r="I801" s="6">
        <v>5</v>
      </c>
      <c r="J801" s="6">
        <f>H801*I801</f>
        <v>11500</v>
      </c>
    </row>
    <row r="802" spans="2:10" ht="20.100000000000001" customHeight="1" x14ac:dyDescent="0.25">
      <c r="B802" s="4">
        <v>45058</v>
      </c>
      <c r="C802" s="8" t="str">
        <f>"Ord-05-23-"&amp;TEXT(ROW(C64),"000")</f>
        <v>Ord-05-23-064</v>
      </c>
      <c r="D802" s="6" t="s">
        <v>23</v>
      </c>
      <c r="E802" s="10" t="s">
        <v>31</v>
      </c>
      <c r="F802" s="10" t="s">
        <v>52</v>
      </c>
      <c r="G802" s="10" t="s">
        <v>59</v>
      </c>
      <c r="H802" s="10">
        <v>3500</v>
      </c>
      <c r="I802" s="6">
        <v>5</v>
      </c>
      <c r="J802" s="6">
        <f>H802*I802</f>
        <v>17500</v>
      </c>
    </row>
    <row r="803" spans="2:10" ht="20.100000000000001" customHeight="1" x14ac:dyDescent="0.25">
      <c r="B803" s="4">
        <v>45058</v>
      </c>
      <c r="C803" s="8" t="str">
        <f>"Ord-05-23-"&amp;TEXT(ROW(C65),"000")</f>
        <v>Ord-05-23-065</v>
      </c>
      <c r="D803" s="6" t="s">
        <v>25</v>
      </c>
      <c r="E803" s="10" t="s">
        <v>29</v>
      </c>
      <c r="F803" s="10" t="s">
        <v>39</v>
      </c>
      <c r="G803" s="10" t="s">
        <v>56</v>
      </c>
      <c r="H803" s="10">
        <v>2500</v>
      </c>
      <c r="I803" s="6">
        <v>5</v>
      </c>
      <c r="J803" s="6">
        <f>H803*I803</f>
        <v>12500</v>
      </c>
    </row>
    <row r="804" spans="2:10" ht="20.100000000000001" customHeight="1" x14ac:dyDescent="0.25">
      <c r="B804" s="4">
        <v>45059</v>
      </c>
      <c r="C804" s="8" t="str">
        <f>"Ord-05-23-"&amp;TEXT(ROW(C66),"000")</f>
        <v>Ord-05-23-066</v>
      </c>
      <c r="D804" s="6" t="s">
        <v>26</v>
      </c>
      <c r="E804" s="10" t="s">
        <v>35</v>
      </c>
      <c r="F804" s="12" t="s">
        <v>90</v>
      </c>
      <c r="G804" s="10" t="s">
        <v>55</v>
      </c>
      <c r="H804" s="10">
        <v>5000</v>
      </c>
      <c r="I804" s="6">
        <v>2</v>
      </c>
      <c r="J804" s="6">
        <f>H804*I804</f>
        <v>10000</v>
      </c>
    </row>
    <row r="805" spans="2:10" ht="20.100000000000001" customHeight="1" x14ac:dyDescent="0.25">
      <c r="B805" s="4">
        <v>45059</v>
      </c>
      <c r="C805" s="8" t="str">
        <f>"Ord-05-23-"&amp;TEXT(ROW(C67),"000")</f>
        <v>Ord-05-23-067</v>
      </c>
      <c r="D805" s="6" t="s">
        <v>7</v>
      </c>
      <c r="E805" s="10" t="s">
        <v>31</v>
      </c>
      <c r="F805" s="10" t="s">
        <v>43</v>
      </c>
      <c r="G805" s="10" t="s">
        <v>76</v>
      </c>
      <c r="H805" s="10">
        <v>4200</v>
      </c>
      <c r="I805" s="6">
        <v>5</v>
      </c>
      <c r="J805" s="6">
        <f>H805*I805</f>
        <v>21000</v>
      </c>
    </row>
    <row r="806" spans="2:10" ht="20.100000000000001" customHeight="1" x14ac:dyDescent="0.25">
      <c r="B806" s="4">
        <v>45059</v>
      </c>
      <c r="C806" s="8" t="str">
        <f>"Ord-05-23-"&amp;TEXT(ROW(C68),"000")</f>
        <v>Ord-05-23-068</v>
      </c>
      <c r="D806" s="6" t="s">
        <v>15</v>
      </c>
      <c r="E806" s="10" t="s">
        <v>31</v>
      </c>
      <c r="F806" s="10" t="s">
        <v>48</v>
      </c>
      <c r="G806" s="10" t="s">
        <v>63</v>
      </c>
      <c r="H806" s="10">
        <v>3000</v>
      </c>
      <c r="I806" s="6">
        <v>4</v>
      </c>
      <c r="J806" s="6">
        <f>H806*I806</f>
        <v>12000</v>
      </c>
    </row>
    <row r="807" spans="2:10" ht="20.100000000000001" customHeight="1" x14ac:dyDescent="0.25">
      <c r="B807" s="4">
        <v>45059</v>
      </c>
      <c r="C807" s="8" t="str">
        <f>"Ord-05-23-"&amp;TEXT(ROW(C69),"000")</f>
        <v>Ord-05-23-069</v>
      </c>
      <c r="D807" s="6" t="s">
        <v>7</v>
      </c>
      <c r="E807" s="10" t="s">
        <v>31</v>
      </c>
      <c r="F807" s="10" t="s">
        <v>48</v>
      </c>
      <c r="G807" s="10" t="s">
        <v>67</v>
      </c>
      <c r="H807" s="10">
        <v>8000</v>
      </c>
      <c r="I807" s="6">
        <v>2</v>
      </c>
      <c r="J807" s="6">
        <f>H807*I807</f>
        <v>16000</v>
      </c>
    </row>
    <row r="808" spans="2:10" ht="20.100000000000001" customHeight="1" x14ac:dyDescent="0.25">
      <c r="B808" s="4">
        <v>45059</v>
      </c>
      <c r="C808" s="8" t="str">
        <f>"Ord-05-23-"&amp;TEXT(ROW(C70),"000")</f>
        <v>Ord-05-23-070</v>
      </c>
      <c r="D808" s="6" t="s">
        <v>13</v>
      </c>
      <c r="E808" s="10" t="s">
        <v>30</v>
      </c>
      <c r="F808" s="10" t="s">
        <v>90</v>
      </c>
      <c r="G808" s="10" t="s">
        <v>59</v>
      </c>
      <c r="H808" s="10">
        <v>4800</v>
      </c>
      <c r="I808" s="6">
        <v>3</v>
      </c>
      <c r="J808" s="6">
        <f>H808*I808</f>
        <v>14400</v>
      </c>
    </row>
    <row r="809" spans="2:10" ht="20.100000000000001" customHeight="1" x14ac:dyDescent="0.25">
      <c r="B809" s="4">
        <v>45060</v>
      </c>
      <c r="C809" s="8" t="str">
        <f>"Ord-05-23-"&amp;TEXT(ROW(C71),"000")</f>
        <v>Ord-05-23-071</v>
      </c>
      <c r="D809" s="6" t="s">
        <v>19</v>
      </c>
      <c r="E809" s="10" t="s">
        <v>35</v>
      </c>
      <c r="F809" s="12" t="s">
        <v>90</v>
      </c>
      <c r="G809" s="10" t="s">
        <v>79</v>
      </c>
      <c r="H809" s="10">
        <v>4800</v>
      </c>
      <c r="I809" s="6">
        <v>4</v>
      </c>
      <c r="J809" s="6">
        <f>H809*I809</f>
        <v>19200</v>
      </c>
    </row>
    <row r="810" spans="2:10" ht="20.100000000000001" customHeight="1" x14ac:dyDescent="0.25">
      <c r="B810" s="4">
        <v>45060</v>
      </c>
      <c r="C810" s="8" t="str">
        <f>"Ord-05-23-"&amp;TEXT(ROW(C72),"000")</f>
        <v>Ord-05-23-072</v>
      </c>
      <c r="D810" s="6" t="s">
        <v>8</v>
      </c>
      <c r="E810" s="10" t="s">
        <v>33</v>
      </c>
      <c r="F810" s="10" t="s">
        <v>47</v>
      </c>
      <c r="G810" s="10" t="s">
        <v>65</v>
      </c>
      <c r="H810" s="10">
        <v>25</v>
      </c>
      <c r="I810" s="6">
        <v>100</v>
      </c>
      <c r="J810" s="6">
        <f>H810*I810</f>
        <v>2500</v>
      </c>
    </row>
    <row r="811" spans="2:10" ht="20.100000000000001" customHeight="1" x14ac:dyDescent="0.25">
      <c r="B811" s="4">
        <v>45060</v>
      </c>
      <c r="C811" s="8" t="str">
        <f>"Ord-05-23-"&amp;TEXT(ROW(C73),"000")</f>
        <v>Ord-05-23-073</v>
      </c>
      <c r="D811" s="6" t="s">
        <v>9</v>
      </c>
      <c r="E811" s="10" t="s">
        <v>31</v>
      </c>
      <c r="F811" s="10" t="s">
        <v>48</v>
      </c>
      <c r="G811" s="10" t="s">
        <v>66</v>
      </c>
      <c r="H811" s="10">
        <v>3500</v>
      </c>
      <c r="I811" s="6">
        <v>1</v>
      </c>
      <c r="J811" s="6">
        <f>H811*I811</f>
        <v>3500</v>
      </c>
    </row>
    <row r="812" spans="2:10" ht="20.100000000000001" customHeight="1" x14ac:dyDescent="0.25">
      <c r="B812" s="4">
        <v>45060</v>
      </c>
      <c r="C812" s="8" t="str">
        <f>"Ord-05-23-"&amp;TEXT(ROW(C74),"000")</f>
        <v>Ord-05-23-074</v>
      </c>
      <c r="D812" s="6" t="s">
        <v>19</v>
      </c>
      <c r="E812" s="10" t="s">
        <v>27</v>
      </c>
      <c r="F812" s="10" t="s">
        <v>38</v>
      </c>
      <c r="G812" s="10" t="s">
        <v>53</v>
      </c>
      <c r="H812" s="10">
        <v>5500</v>
      </c>
      <c r="I812" s="6">
        <v>5</v>
      </c>
      <c r="J812" s="6">
        <f>H812*I812</f>
        <v>27500</v>
      </c>
    </row>
    <row r="813" spans="2:10" ht="20.100000000000001" customHeight="1" x14ac:dyDescent="0.25">
      <c r="B813" s="4">
        <v>45060</v>
      </c>
      <c r="C813" s="8" t="str">
        <f>"Ord-05-23-"&amp;TEXT(ROW(C75),"000")</f>
        <v>Ord-05-23-075</v>
      </c>
      <c r="D813" s="6" t="s">
        <v>7</v>
      </c>
      <c r="E813" s="10" t="s">
        <v>34</v>
      </c>
      <c r="F813" s="10" t="s">
        <v>49</v>
      </c>
      <c r="G813" s="10" t="s">
        <v>68</v>
      </c>
      <c r="H813" s="10">
        <v>4000</v>
      </c>
      <c r="I813" s="6">
        <v>1</v>
      </c>
      <c r="J813" s="6">
        <f>H813*I813</f>
        <v>4000</v>
      </c>
    </row>
    <row r="814" spans="2:10" ht="20.100000000000001" customHeight="1" x14ac:dyDescent="0.25">
      <c r="B814" s="4">
        <v>45061</v>
      </c>
      <c r="C814" s="8" t="str">
        <f>"Ord-05-23-"&amp;TEXT(ROW(C76),"000")</f>
        <v>Ord-05-23-076</v>
      </c>
      <c r="D814" s="6" t="s">
        <v>11</v>
      </c>
      <c r="E814" s="10" t="s">
        <v>31</v>
      </c>
      <c r="F814" s="10" t="s">
        <v>43</v>
      </c>
      <c r="G814" s="10" t="s">
        <v>82</v>
      </c>
      <c r="H814" s="10">
        <v>16000</v>
      </c>
      <c r="I814" s="6">
        <v>1</v>
      </c>
      <c r="J814" s="6">
        <f>H814*I814</f>
        <v>16000</v>
      </c>
    </row>
    <row r="815" spans="2:10" ht="20.100000000000001" customHeight="1" x14ac:dyDescent="0.25">
      <c r="B815" s="4">
        <v>45061</v>
      </c>
      <c r="C815" s="8" t="str">
        <f>"Ord-05-23-"&amp;TEXT(ROW(C77),"000")</f>
        <v>Ord-05-23-077</v>
      </c>
      <c r="D815" s="6" t="s">
        <v>12</v>
      </c>
      <c r="E815" s="10" t="s">
        <v>31</v>
      </c>
      <c r="F815" s="10" t="s">
        <v>48</v>
      </c>
      <c r="G815" s="10" t="s">
        <v>63</v>
      </c>
      <c r="H815" s="10">
        <v>3000</v>
      </c>
      <c r="I815" s="6">
        <v>1</v>
      </c>
      <c r="J815" s="6">
        <f>H815*I815</f>
        <v>3000</v>
      </c>
    </row>
    <row r="816" spans="2:10" ht="20.100000000000001" customHeight="1" x14ac:dyDescent="0.25">
      <c r="B816" s="4">
        <v>45061</v>
      </c>
      <c r="C816" s="8" t="str">
        <f>"Ord-05-23-"&amp;TEXT(ROW(C78),"000")</f>
        <v>Ord-05-23-078</v>
      </c>
      <c r="D816" s="6" t="s">
        <v>22</v>
      </c>
      <c r="E816" s="10" t="s">
        <v>29</v>
      </c>
      <c r="F816" s="10" t="s">
        <v>40</v>
      </c>
      <c r="G816" s="10" t="s">
        <v>84</v>
      </c>
      <c r="H816" s="10">
        <v>7500</v>
      </c>
      <c r="I816" s="6">
        <v>2</v>
      </c>
      <c r="J816" s="6">
        <f>H816*I816</f>
        <v>15000</v>
      </c>
    </row>
    <row r="817" spans="2:10" ht="20.100000000000001" customHeight="1" x14ac:dyDescent="0.25">
      <c r="B817" s="4">
        <v>45061</v>
      </c>
      <c r="C817" s="8" t="str">
        <f>"Ord-05-23-"&amp;TEXT(ROW(C79),"000")</f>
        <v>Ord-05-23-079</v>
      </c>
      <c r="D817" s="6" t="s">
        <v>12</v>
      </c>
      <c r="E817" s="10" t="s">
        <v>29</v>
      </c>
      <c r="F817" s="10" t="s">
        <v>39</v>
      </c>
      <c r="G817" s="10" t="s">
        <v>60</v>
      </c>
      <c r="H817" s="10">
        <v>1500</v>
      </c>
      <c r="I817" s="6">
        <v>2</v>
      </c>
      <c r="J817" s="6">
        <f>H817*I817</f>
        <v>3000</v>
      </c>
    </row>
    <row r="818" spans="2:10" ht="20.100000000000001" customHeight="1" x14ac:dyDescent="0.25">
      <c r="B818" s="4">
        <v>45061</v>
      </c>
      <c r="C818" s="8" t="str">
        <f>"Ord-05-23-"&amp;TEXT(ROW(C80),"000")</f>
        <v>Ord-05-23-080</v>
      </c>
      <c r="D818" s="6" t="s">
        <v>9</v>
      </c>
      <c r="E818" s="10" t="s">
        <v>29</v>
      </c>
      <c r="F818" s="10" t="s">
        <v>39</v>
      </c>
      <c r="G818" s="10" t="s">
        <v>56</v>
      </c>
      <c r="H818" s="10">
        <v>2500</v>
      </c>
      <c r="I818" s="6">
        <v>4</v>
      </c>
      <c r="J818" s="6">
        <f>H818*I818</f>
        <v>10000</v>
      </c>
    </row>
    <row r="819" spans="2:10" ht="20.100000000000001" customHeight="1" x14ac:dyDescent="0.25">
      <c r="B819" s="4">
        <v>45062</v>
      </c>
      <c r="C819" s="8" t="str">
        <f>"Ord-05-23-"&amp;TEXT(ROW(C81),"000")</f>
        <v>Ord-05-23-081</v>
      </c>
      <c r="D819" s="6" t="s">
        <v>24</v>
      </c>
      <c r="E819" s="10" t="s">
        <v>28</v>
      </c>
      <c r="F819" s="10" t="s">
        <v>28</v>
      </c>
      <c r="G819" s="10" t="s">
        <v>71</v>
      </c>
      <c r="H819" s="10">
        <v>850</v>
      </c>
      <c r="I819" s="6">
        <v>1</v>
      </c>
      <c r="J819" s="6">
        <f>H819*I819</f>
        <v>850</v>
      </c>
    </row>
    <row r="820" spans="2:10" ht="20.100000000000001" customHeight="1" x14ac:dyDescent="0.25">
      <c r="B820" s="4">
        <v>45062</v>
      </c>
      <c r="C820" s="8" t="str">
        <f>"Ord-05-23-"&amp;TEXT(ROW(C82),"000")</f>
        <v>Ord-05-23-082</v>
      </c>
      <c r="D820" s="6" t="s">
        <v>23</v>
      </c>
      <c r="E820" s="10" t="s">
        <v>32</v>
      </c>
      <c r="F820" s="10" t="s">
        <v>51</v>
      </c>
      <c r="G820" s="10" t="s">
        <v>80</v>
      </c>
      <c r="H820" s="10">
        <v>5500</v>
      </c>
      <c r="I820" s="6">
        <v>3</v>
      </c>
      <c r="J820" s="6">
        <f>H820*I820</f>
        <v>16500</v>
      </c>
    </row>
    <row r="821" spans="2:10" ht="20.100000000000001" customHeight="1" x14ac:dyDescent="0.25">
      <c r="B821" s="4">
        <v>45062</v>
      </c>
      <c r="C821" s="8" t="str">
        <f>"Ord-05-23-"&amp;TEXT(ROW(C83),"000")</f>
        <v>Ord-05-23-083</v>
      </c>
      <c r="D821" s="6" t="s">
        <v>9</v>
      </c>
      <c r="E821" s="10" t="s">
        <v>31</v>
      </c>
      <c r="F821" s="10" t="s">
        <v>45</v>
      </c>
      <c r="G821" s="10" t="s">
        <v>63</v>
      </c>
      <c r="H821" s="10">
        <v>1800</v>
      </c>
      <c r="I821" s="6">
        <v>4</v>
      </c>
      <c r="J821" s="6">
        <f>H821*I821</f>
        <v>7200</v>
      </c>
    </row>
    <row r="822" spans="2:10" ht="20.100000000000001" customHeight="1" x14ac:dyDescent="0.25">
      <c r="B822" s="4">
        <v>45062</v>
      </c>
      <c r="C822" s="8" t="str">
        <f>"Ord-05-23-"&amp;TEXT(ROW(C84),"000")</f>
        <v>Ord-05-23-084</v>
      </c>
      <c r="D822" s="6" t="s">
        <v>10</v>
      </c>
      <c r="E822" s="10" t="s">
        <v>27</v>
      </c>
      <c r="F822" s="10" t="s">
        <v>50</v>
      </c>
      <c r="G822" s="10" t="s">
        <v>54</v>
      </c>
      <c r="H822" s="10">
        <v>3200</v>
      </c>
      <c r="I822" s="6">
        <v>3</v>
      </c>
      <c r="J822" s="6">
        <f>H822*I822</f>
        <v>9600</v>
      </c>
    </row>
    <row r="823" spans="2:10" ht="20.100000000000001" customHeight="1" x14ac:dyDescent="0.25">
      <c r="B823" s="4">
        <v>45062</v>
      </c>
      <c r="C823" s="8" t="str">
        <f>"Ord-05-23-"&amp;TEXT(ROW(C85),"000")</f>
        <v>Ord-05-23-085</v>
      </c>
      <c r="D823" s="6" t="s">
        <v>22</v>
      </c>
      <c r="E823" s="10" t="s">
        <v>27</v>
      </c>
      <c r="F823" s="10" t="s">
        <v>37</v>
      </c>
      <c r="G823" s="10" t="s">
        <v>64</v>
      </c>
      <c r="H823" s="10">
        <v>4500</v>
      </c>
      <c r="I823" s="6">
        <v>1</v>
      </c>
      <c r="J823" s="6">
        <f>H823*I823</f>
        <v>4500</v>
      </c>
    </row>
    <row r="824" spans="2:10" ht="20.100000000000001" customHeight="1" x14ac:dyDescent="0.25">
      <c r="B824" s="4">
        <v>45063</v>
      </c>
      <c r="C824" s="8" t="str">
        <f>"Ord-05-23-"&amp;TEXT(ROW(C86),"000")</f>
        <v>Ord-05-23-086</v>
      </c>
      <c r="D824" s="6" t="s">
        <v>10</v>
      </c>
      <c r="E824" s="10" t="s">
        <v>32</v>
      </c>
      <c r="F824" s="10" t="s">
        <v>44</v>
      </c>
      <c r="G824" s="10" t="s">
        <v>72</v>
      </c>
      <c r="H824" s="10">
        <v>2200</v>
      </c>
      <c r="I824" s="6">
        <v>5</v>
      </c>
      <c r="J824" s="6">
        <f>H824*I824</f>
        <v>11000</v>
      </c>
    </row>
    <row r="825" spans="2:10" ht="20.100000000000001" customHeight="1" x14ac:dyDescent="0.25">
      <c r="B825" s="4">
        <v>45063</v>
      </c>
      <c r="C825" s="8" t="str">
        <f>"Ord-05-23-"&amp;TEXT(ROW(C87),"000")</f>
        <v>Ord-05-23-087</v>
      </c>
      <c r="D825" s="6" t="s">
        <v>19</v>
      </c>
      <c r="E825" s="10" t="s">
        <v>33</v>
      </c>
      <c r="F825" s="10" t="s">
        <v>47</v>
      </c>
      <c r="G825" s="10" t="s">
        <v>65</v>
      </c>
      <c r="H825" s="10">
        <v>25</v>
      </c>
      <c r="I825" s="6">
        <v>200</v>
      </c>
      <c r="J825" s="6">
        <f>H825*I825</f>
        <v>5000</v>
      </c>
    </row>
    <row r="826" spans="2:10" ht="20.100000000000001" customHeight="1" x14ac:dyDescent="0.25">
      <c r="B826" s="4">
        <v>45063</v>
      </c>
      <c r="C826" s="8" t="str">
        <f>"Ord-05-23-"&amp;TEXT(ROW(C88),"000")</f>
        <v>Ord-05-23-088</v>
      </c>
      <c r="D826" s="6" t="s">
        <v>19</v>
      </c>
      <c r="E826" s="10" t="s">
        <v>31</v>
      </c>
      <c r="F826" s="10" t="s">
        <v>48</v>
      </c>
      <c r="G826" s="10" t="s">
        <v>69</v>
      </c>
      <c r="H826" s="13">
        <v>3500</v>
      </c>
      <c r="I826" s="6">
        <v>1</v>
      </c>
      <c r="J826" s="6">
        <f>H826*I826</f>
        <v>3500</v>
      </c>
    </row>
    <row r="827" spans="2:10" ht="20.100000000000001" customHeight="1" x14ac:dyDescent="0.25">
      <c r="B827" s="4">
        <v>45063</v>
      </c>
      <c r="C827" s="8" t="str">
        <f>"Ord-05-23-"&amp;TEXT(ROW(C89),"000")</f>
        <v>Ord-05-23-089</v>
      </c>
      <c r="D827" s="6" t="s">
        <v>22</v>
      </c>
      <c r="E827" s="10" t="s">
        <v>29</v>
      </c>
      <c r="F827" s="10" t="s">
        <v>39</v>
      </c>
      <c r="G827" s="10" t="s">
        <v>60</v>
      </c>
      <c r="H827" s="10">
        <v>1500</v>
      </c>
      <c r="I827" s="6">
        <v>2</v>
      </c>
      <c r="J827" s="6">
        <f>H827*I827</f>
        <v>3000</v>
      </c>
    </row>
    <row r="828" spans="2:10" ht="20.100000000000001" customHeight="1" x14ac:dyDescent="0.25">
      <c r="B828" s="4">
        <v>45063</v>
      </c>
      <c r="C828" s="8" t="str">
        <f>"Ord-05-23-"&amp;TEXT(ROW(C90),"000")</f>
        <v>Ord-05-23-090</v>
      </c>
      <c r="D828" s="6" t="s">
        <v>26</v>
      </c>
      <c r="E828" s="10" t="s">
        <v>27</v>
      </c>
      <c r="F828" s="10" t="s">
        <v>38</v>
      </c>
      <c r="G828" s="10" t="s">
        <v>54</v>
      </c>
      <c r="H828" s="10">
        <v>5200</v>
      </c>
      <c r="I828" s="6">
        <v>3</v>
      </c>
      <c r="J828" s="6">
        <f>H828*I828</f>
        <v>15600</v>
      </c>
    </row>
    <row r="829" spans="2:10" ht="20.100000000000001" customHeight="1" x14ac:dyDescent="0.25">
      <c r="B829" s="4">
        <v>45064</v>
      </c>
      <c r="C829" s="8" t="str">
        <f>"Ord-05-23-"&amp;TEXT(ROW(C91),"000")</f>
        <v>Ord-05-23-091</v>
      </c>
      <c r="D829" s="6" t="s">
        <v>8</v>
      </c>
      <c r="E829" s="10" t="s">
        <v>32</v>
      </c>
      <c r="F829" s="10" t="s">
        <v>51</v>
      </c>
      <c r="G829" s="10" t="s">
        <v>80</v>
      </c>
      <c r="H829" s="10">
        <v>5500</v>
      </c>
      <c r="I829" s="6">
        <v>4</v>
      </c>
      <c r="J829" s="6">
        <f>H829*I829</f>
        <v>22000</v>
      </c>
    </row>
    <row r="830" spans="2:10" ht="20.100000000000001" customHeight="1" x14ac:dyDescent="0.25">
      <c r="B830" s="4">
        <v>45064</v>
      </c>
      <c r="C830" s="8" t="str">
        <f>"Ord-05-23-"&amp;TEXT(ROW(C92),"000")</f>
        <v>Ord-05-23-092</v>
      </c>
      <c r="D830" s="6" t="s">
        <v>14</v>
      </c>
      <c r="E830" s="10" t="s">
        <v>32</v>
      </c>
      <c r="F830" s="10" t="s">
        <v>51</v>
      </c>
      <c r="G830" s="10" t="s">
        <v>80</v>
      </c>
      <c r="H830" s="10">
        <v>5500</v>
      </c>
      <c r="I830" s="6">
        <v>2</v>
      </c>
      <c r="J830" s="6">
        <f>H830*I830</f>
        <v>11000</v>
      </c>
    </row>
    <row r="831" spans="2:10" ht="20.100000000000001" customHeight="1" x14ac:dyDescent="0.25">
      <c r="B831" s="4">
        <v>45064</v>
      </c>
      <c r="C831" s="8" t="str">
        <f>"Ord-05-23-"&amp;TEXT(ROW(C93),"000")</f>
        <v>Ord-05-23-093</v>
      </c>
      <c r="D831" s="6" t="s">
        <v>15</v>
      </c>
      <c r="E831" s="10" t="s">
        <v>31</v>
      </c>
      <c r="F831" s="10" t="s">
        <v>48</v>
      </c>
      <c r="G831" s="10" t="s">
        <v>76</v>
      </c>
      <c r="H831" s="13">
        <v>3500</v>
      </c>
      <c r="I831" s="6">
        <v>1</v>
      </c>
      <c r="J831" s="6">
        <f>H831*I831</f>
        <v>3500</v>
      </c>
    </row>
    <row r="832" spans="2:10" ht="20.100000000000001" customHeight="1" x14ac:dyDescent="0.25">
      <c r="B832" s="4">
        <v>45064</v>
      </c>
      <c r="C832" s="8" t="str">
        <f>"Ord-05-23-"&amp;TEXT(ROW(C94),"000")</f>
        <v>Ord-05-23-094</v>
      </c>
      <c r="D832" s="6" t="s">
        <v>25</v>
      </c>
      <c r="E832" s="10" t="s">
        <v>36</v>
      </c>
      <c r="F832" s="10" t="s">
        <v>36</v>
      </c>
      <c r="G832" s="10" t="s">
        <v>41</v>
      </c>
      <c r="H832" s="10">
        <v>2000</v>
      </c>
      <c r="I832" s="6">
        <v>2</v>
      </c>
      <c r="J832" s="6">
        <f>H832*I832</f>
        <v>4000</v>
      </c>
    </row>
    <row r="833" spans="2:10" ht="20.100000000000001" customHeight="1" x14ac:dyDescent="0.25">
      <c r="B833" s="4">
        <v>45064</v>
      </c>
      <c r="C833" s="8" t="str">
        <f>"Ord-05-23-"&amp;TEXT(ROW(C95),"000")</f>
        <v>Ord-05-23-095</v>
      </c>
      <c r="D833" s="6" t="s">
        <v>14</v>
      </c>
      <c r="E833" s="10" t="s">
        <v>27</v>
      </c>
      <c r="F833" s="10" t="s">
        <v>41</v>
      </c>
      <c r="G833" s="10" t="s">
        <v>64</v>
      </c>
      <c r="H833" s="10">
        <v>2500</v>
      </c>
      <c r="I833" s="6">
        <v>1</v>
      </c>
      <c r="J833" s="6">
        <f>H833*I833</f>
        <v>2500</v>
      </c>
    </row>
    <row r="834" spans="2:10" ht="20.100000000000001" customHeight="1" x14ac:dyDescent="0.25">
      <c r="B834" s="4">
        <v>45065</v>
      </c>
      <c r="C834" s="8" t="str">
        <f>"Ord-05-23-"&amp;TEXT(ROW(C96),"000")</f>
        <v>Ord-05-23-096</v>
      </c>
      <c r="D834" s="6" t="s">
        <v>17</v>
      </c>
      <c r="E834" s="10" t="s">
        <v>28</v>
      </c>
      <c r="F834" s="10" t="s">
        <v>28</v>
      </c>
      <c r="G834" s="10" t="s">
        <v>77</v>
      </c>
      <c r="H834" s="10">
        <v>1200</v>
      </c>
      <c r="I834" s="6">
        <v>3</v>
      </c>
      <c r="J834" s="6">
        <f>H834*I834</f>
        <v>3600</v>
      </c>
    </row>
    <row r="835" spans="2:10" ht="20.100000000000001" customHeight="1" x14ac:dyDescent="0.25">
      <c r="B835" s="4">
        <v>45065</v>
      </c>
      <c r="C835" s="8" t="str">
        <f>"Ord-05-23-"&amp;TEXT(ROW(C97),"000")</f>
        <v>Ord-05-23-097</v>
      </c>
      <c r="D835" s="6" t="s">
        <v>11</v>
      </c>
      <c r="E835" s="10" t="s">
        <v>31</v>
      </c>
      <c r="F835" s="10" t="s">
        <v>45</v>
      </c>
      <c r="G835" s="10" t="s">
        <v>63</v>
      </c>
      <c r="H835" s="10">
        <v>1800</v>
      </c>
      <c r="I835" s="6">
        <v>3</v>
      </c>
      <c r="J835" s="6">
        <f>H835*I835</f>
        <v>5400</v>
      </c>
    </row>
    <row r="836" spans="2:10" ht="20.100000000000001" customHeight="1" x14ac:dyDescent="0.25">
      <c r="B836" s="4">
        <v>45065</v>
      </c>
      <c r="C836" s="8" t="str">
        <f>"Ord-05-23-"&amp;TEXT(ROW(C98),"000")</f>
        <v>Ord-05-23-098</v>
      </c>
      <c r="D836" s="6" t="s">
        <v>10</v>
      </c>
      <c r="E836" s="10" t="s">
        <v>31</v>
      </c>
      <c r="F836" s="10" t="s">
        <v>52</v>
      </c>
      <c r="G836" s="10" t="s">
        <v>82</v>
      </c>
      <c r="H836" s="10">
        <v>5000</v>
      </c>
      <c r="I836" s="6">
        <v>4</v>
      </c>
      <c r="J836" s="6">
        <f>H836*I836</f>
        <v>20000</v>
      </c>
    </row>
    <row r="837" spans="2:10" ht="20.100000000000001" customHeight="1" x14ac:dyDescent="0.25">
      <c r="B837" s="4">
        <v>45065</v>
      </c>
      <c r="C837" s="8" t="str">
        <f>"Ord-05-23-"&amp;TEXT(ROW(C99),"000")</f>
        <v>Ord-05-23-099</v>
      </c>
      <c r="D837" s="6" t="s">
        <v>22</v>
      </c>
      <c r="E837" s="10" t="s">
        <v>36</v>
      </c>
      <c r="F837" s="10" t="s">
        <v>36</v>
      </c>
      <c r="G837" s="10" t="s">
        <v>41</v>
      </c>
      <c r="H837" s="10">
        <v>2000</v>
      </c>
      <c r="I837" s="6">
        <v>2</v>
      </c>
      <c r="J837" s="6">
        <f>H837*I837</f>
        <v>4000</v>
      </c>
    </row>
    <row r="838" spans="2:10" ht="20.100000000000001" customHeight="1" x14ac:dyDescent="0.25">
      <c r="B838" s="4">
        <v>45065</v>
      </c>
      <c r="C838" s="8" t="str">
        <f>"Ord-05-23-"&amp;TEXT(ROW(C100),"000")</f>
        <v>Ord-05-23-100</v>
      </c>
      <c r="D838" s="6" t="s">
        <v>17</v>
      </c>
      <c r="E838" s="10" t="s">
        <v>27</v>
      </c>
      <c r="F838" s="10" t="s">
        <v>38</v>
      </c>
      <c r="G838" s="10" t="s">
        <v>54</v>
      </c>
      <c r="H838" s="10">
        <v>5200</v>
      </c>
      <c r="I838" s="6">
        <v>3</v>
      </c>
      <c r="J838" s="6">
        <f>H838*I838</f>
        <v>15600</v>
      </c>
    </row>
    <row r="839" spans="2:10" ht="20.100000000000001" customHeight="1" x14ac:dyDescent="0.25">
      <c r="B839" s="4">
        <v>45066</v>
      </c>
      <c r="C839" s="8" t="str">
        <f>"Ord-05-23-"&amp;TEXT(ROW(C101),"000")</f>
        <v>Ord-05-23-101</v>
      </c>
      <c r="D839" s="6" t="s">
        <v>14</v>
      </c>
      <c r="E839" s="10" t="s">
        <v>28</v>
      </c>
      <c r="F839" s="10" t="s">
        <v>28</v>
      </c>
      <c r="G839" s="10" t="s">
        <v>58</v>
      </c>
      <c r="H839" s="10">
        <v>1000</v>
      </c>
      <c r="I839" s="6">
        <v>4</v>
      </c>
      <c r="J839" s="6">
        <f>H839*I839</f>
        <v>4000</v>
      </c>
    </row>
    <row r="840" spans="2:10" ht="20.100000000000001" customHeight="1" x14ac:dyDescent="0.25">
      <c r="B840" s="4">
        <v>45066</v>
      </c>
      <c r="C840" s="8" t="str">
        <f>"Ord-05-23-"&amp;TEXT(ROW(C102),"000")</f>
        <v>Ord-05-23-102</v>
      </c>
      <c r="D840" s="6" t="s">
        <v>11</v>
      </c>
      <c r="E840" s="10" t="s">
        <v>32</v>
      </c>
      <c r="F840" s="10" t="s">
        <v>51</v>
      </c>
      <c r="G840" s="10" t="s">
        <v>70</v>
      </c>
      <c r="H840" s="10">
        <v>2600</v>
      </c>
      <c r="I840" s="6">
        <v>2</v>
      </c>
      <c r="J840" s="6">
        <f>H840*I840</f>
        <v>5200</v>
      </c>
    </row>
    <row r="841" spans="2:10" ht="20.100000000000001" customHeight="1" x14ac:dyDescent="0.25">
      <c r="B841" s="4">
        <v>45066</v>
      </c>
      <c r="C841" s="8" t="str">
        <f>"Ord-05-23-"&amp;TEXT(ROW(C103),"000")</f>
        <v>Ord-05-23-103</v>
      </c>
      <c r="D841" s="6" t="s">
        <v>22</v>
      </c>
      <c r="E841" s="10" t="s">
        <v>31</v>
      </c>
      <c r="F841" s="10" t="s">
        <v>45</v>
      </c>
      <c r="G841" s="10" t="s">
        <v>63</v>
      </c>
      <c r="H841" s="10">
        <v>1800</v>
      </c>
      <c r="I841" s="6">
        <v>4</v>
      </c>
      <c r="J841" s="6">
        <f>H841*I841</f>
        <v>7200</v>
      </c>
    </row>
    <row r="842" spans="2:10" ht="20.100000000000001" customHeight="1" x14ac:dyDescent="0.25">
      <c r="B842" s="4">
        <v>45066</v>
      </c>
      <c r="C842" s="8" t="str">
        <f>"Ord-05-23-"&amp;TEXT(ROW(C104),"000")</f>
        <v>Ord-05-23-104</v>
      </c>
      <c r="D842" s="6" t="s">
        <v>21</v>
      </c>
      <c r="E842" s="10" t="s">
        <v>27</v>
      </c>
      <c r="F842" s="10" t="s">
        <v>42</v>
      </c>
      <c r="G842" s="10" t="s">
        <v>42</v>
      </c>
      <c r="H842" s="10">
        <v>2500</v>
      </c>
      <c r="I842" s="6">
        <v>3</v>
      </c>
      <c r="J842" s="6">
        <f>H842*I842</f>
        <v>7500</v>
      </c>
    </row>
    <row r="843" spans="2:10" ht="20.100000000000001" customHeight="1" x14ac:dyDescent="0.25">
      <c r="B843" s="4">
        <v>45066</v>
      </c>
      <c r="C843" s="8" t="str">
        <f>"Ord-05-23-"&amp;TEXT(ROW(C105),"000")</f>
        <v>Ord-05-23-105</v>
      </c>
      <c r="D843" s="6" t="s">
        <v>17</v>
      </c>
      <c r="E843" s="10" t="s">
        <v>27</v>
      </c>
      <c r="F843" s="10" t="s">
        <v>50</v>
      </c>
      <c r="G843" s="10" t="s">
        <v>64</v>
      </c>
      <c r="H843" s="10">
        <v>3000</v>
      </c>
      <c r="I843" s="6">
        <v>5</v>
      </c>
      <c r="J843" s="6">
        <f>H843*I843</f>
        <v>15000</v>
      </c>
    </row>
    <row r="844" spans="2:10" ht="20.100000000000001" customHeight="1" x14ac:dyDescent="0.25">
      <c r="B844" s="4">
        <v>45067</v>
      </c>
      <c r="C844" s="8" t="str">
        <f>"Ord-05-23-"&amp;TEXT(ROW(C106),"000")</f>
        <v>Ord-05-23-106</v>
      </c>
      <c r="D844" s="6" t="s">
        <v>14</v>
      </c>
      <c r="E844" s="10" t="s">
        <v>33</v>
      </c>
      <c r="F844" s="10" t="s">
        <v>47</v>
      </c>
      <c r="G844" s="10" t="s">
        <v>65</v>
      </c>
      <c r="H844" s="10">
        <v>25</v>
      </c>
      <c r="I844" s="6">
        <v>200</v>
      </c>
      <c r="J844" s="6">
        <f>H844*I844</f>
        <v>5000</v>
      </c>
    </row>
    <row r="845" spans="2:10" ht="20.100000000000001" customHeight="1" x14ac:dyDescent="0.25">
      <c r="B845" s="4">
        <v>45067</v>
      </c>
      <c r="C845" s="8" t="str">
        <f>"Ord-05-23-"&amp;TEXT(ROW(C107),"000")</f>
        <v>Ord-05-23-107</v>
      </c>
      <c r="D845" s="6" t="s">
        <v>8</v>
      </c>
      <c r="E845" s="10" t="s">
        <v>31</v>
      </c>
      <c r="F845" s="10" t="s">
        <v>45</v>
      </c>
      <c r="G845" s="10" t="s">
        <v>59</v>
      </c>
      <c r="H845" s="10">
        <v>4000</v>
      </c>
      <c r="I845" s="6">
        <v>1</v>
      </c>
      <c r="J845" s="6">
        <f>H845*I845</f>
        <v>4000</v>
      </c>
    </row>
    <row r="846" spans="2:10" ht="20.100000000000001" customHeight="1" x14ac:dyDescent="0.25">
      <c r="B846" s="4">
        <v>45067</v>
      </c>
      <c r="C846" s="8" t="str">
        <f>"Ord-05-23-"&amp;TEXT(ROW(C108),"000")</f>
        <v>Ord-05-23-108</v>
      </c>
      <c r="D846" s="6" t="s">
        <v>14</v>
      </c>
      <c r="E846" s="10" t="s">
        <v>29</v>
      </c>
      <c r="F846" s="10" t="s">
        <v>40</v>
      </c>
      <c r="G846" s="10" t="s">
        <v>57</v>
      </c>
      <c r="H846" s="10">
        <v>4000</v>
      </c>
      <c r="I846" s="6">
        <v>1</v>
      </c>
      <c r="J846" s="6">
        <f>H846*I846</f>
        <v>4000</v>
      </c>
    </row>
    <row r="847" spans="2:10" ht="20.100000000000001" customHeight="1" x14ac:dyDescent="0.25">
      <c r="B847" s="4">
        <v>45067</v>
      </c>
      <c r="C847" s="8" t="str">
        <f>"Ord-05-23-"&amp;TEXT(ROW(C109),"000")</f>
        <v>Ord-05-23-109</v>
      </c>
      <c r="D847" s="6" t="s">
        <v>19</v>
      </c>
      <c r="E847" s="10" t="s">
        <v>27</v>
      </c>
      <c r="F847" s="10" t="s">
        <v>37</v>
      </c>
      <c r="G847" s="10" t="s">
        <v>54</v>
      </c>
      <c r="H847" s="10">
        <v>5000</v>
      </c>
      <c r="I847" s="6">
        <v>2</v>
      </c>
      <c r="J847" s="6">
        <f>H847*I847</f>
        <v>10000</v>
      </c>
    </row>
    <row r="848" spans="2:10" ht="20.100000000000001" customHeight="1" x14ac:dyDescent="0.25">
      <c r="B848" s="4">
        <v>45067</v>
      </c>
      <c r="C848" s="8" t="str">
        <f>"Ord-05-23-"&amp;TEXT(ROW(C110),"000")</f>
        <v>Ord-05-23-110</v>
      </c>
      <c r="D848" s="6" t="s">
        <v>21</v>
      </c>
      <c r="E848" s="10" t="s">
        <v>27</v>
      </c>
      <c r="F848" s="10" t="s">
        <v>41</v>
      </c>
      <c r="G848" s="10" t="s">
        <v>53</v>
      </c>
      <c r="H848" s="10">
        <v>3000</v>
      </c>
      <c r="I848" s="6">
        <v>5</v>
      </c>
      <c r="J848" s="6">
        <f>H848*I848</f>
        <v>15000</v>
      </c>
    </row>
    <row r="849" spans="2:10" ht="20.100000000000001" customHeight="1" x14ac:dyDescent="0.25">
      <c r="B849" s="4">
        <v>45068</v>
      </c>
      <c r="C849" s="8" t="str">
        <f>"Ord-05-23-"&amp;TEXT(ROW(C111),"000")</f>
        <v>Ord-05-23-111</v>
      </c>
      <c r="D849" s="6" t="s">
        <v>10</v>
      </c>
      <c r="E849" s="10" t="s">
        <v>28</v>
      </c>
      <c r="F849" s="10" t="s">
        <v>28</v>
      </c>
      <c r="G849" s="10" t="s">
        <v>58</v>
      </c>
      <c r="H849" s="10">
        <v>1000</v>
      </c>
      <c r="I849" s="6">
        <v>1</v>
      </c>
      <c r="J849" s="6">
        <f>H849*I849</f>
        <v>1000</v>
      </c>
    </row>
    <row r="850" spans="2:10" ht="20.100000000000001" customHeight="1" x14ac:dyDescent="0.25">
      <c r="B850" s="4">
        <v>45068</v>
      </c>
      <c r="C850" s="8" t="str">
        <f>"Ord-05-23-"&amp;TEXT(ROW(C112),"000")</f>
        <v>Ord-05-23-112</v>
      </c>
      <c r="D850" s="6" t="s">
        <v>14</v>
      </c>
      <c r="E850" s="10" t="s">
        <v>32</v>
      </c>
      <c r="F850" s="10" t="s">
        <v>51</v>
      </c>
      <c r="G850" s="10" t="s">
        <v>72</v>
      </c>
      <c r="H850" s="10">
        <v>2200</v>
      </c>
      <c r="I850" s="6">
        <v>3</v>
      </c>
      <c r="J850" s="6">
        <f>H850*I850</f>
        <v>6600</v>
      </c>
    </row>
    <row r="851" spans="2:10" ht="20.100000000000001" customHeight="1" x14ac:dyDescent="0.25">
      <c r="B851" s="4">
        <v>45068</v>
      </c>
      <c r="C851" s="8" t="str">
        <f>"Ord-05-23-"&amp;TEXT(ROW(C113),"000")</f>
        <v>Ord-05-23-113</v>
      </c>
      <c r="D851" s="6" t="s">
        <v>16</v>
      </c>
      <c r="E851" s="10" t="s">
        <v>31</v>
      </c>
      <c r="F851" s="10" t="s">
        <v>52</v>
      </c>
      <c r="G851" s="10" t="s">
        <v>69</v>
      </c>
      <c r="H851" s="10">
        <v>3500</v>
      </c>
      <c r="I851" s="6">
        <v>1</v>
      </c>
      <c r="J851" s="6">
        <f>H851*I851</f>
        <v>3500</v>
      </c>
    </row>
    <row r="852" spans="2:10" ht="20.100000000000001" customHeight="1" x14ac:dyDescent="0.25">
      <c r="B852" s="4">
        <v>45068</v>
      </c>
      <c r="C852" s="8" t="str">
        <f>"Ord-05-23-"&amp;TEXT(ROW(C114),"000")</f>
        <v>Ord-05-23-114</v>
      </c>
      <c r="D852" s="6" t="s">
        <v>10</v>
      </c>
      <c r="E852" s="10" t="s">
        <v>31</v>
      </c>
      <c r="F852" s="10" t="s">
        <v>52</v>
      </c>
      <c r="G852" s="10" t="s">
        <v>73</v>
      </c>
      <c r="H852" s="10">
        <v>2500</v>
      </c>
      <c r="I852" s="6">
        <v>1</v>
      </c>
      <c r="J852" s="6">
        <f>H852*I852</f>
        <v>2500</v>
      </c>
    </row>
    <row r="853" spans="2:10" ht="20.100000000000001" customHeight="1" x14ac:dyDescent="0.25">
      <c r="B853" s="4">
        <v>45068</v>
      </c>
      <c r="C853" s="8" t="str">
        <f>"Ord-05-23-"&amp;TEXT(ROW(C115),"000")</f>
        <v>Ord-05-23-115</v>
      </c>
      <c r="D853" s="6" t="s">
        <v>21</v>
      </c>
      <c r="E853" s="10" t="s">
        <v>27</v>
      </c>
      <c r="F853" s="10" t="s">
        <v>50</v>
      </c>
      <c r="G853" s="10" t="s">
        <v>64</v>
      </c>
      <c r="H853" s="10">
        <v>3000</v>
      </c>
      <c r="I853" s="6">
        <v>1</v>
      </c>
      <c r="J853" s="6">
        <f>H853*I853</f>
        <v>3000</v>
      </c>
    </row>
    <row r="854" spans="2:10" ht="20.100000000000001" customHeight="1" x14ac:dyDescent="0.25">
      <c r="B854" s="4">
        <v>45069</v>
      </c>
      <c r="C854" s="8" t="str">
        <f>"Ord-05-23-"&amp;TEXT(ROW(C116),"000")</f>
        <v>Ord-05-23-116</v>
      </c>
      <c r="D854" s="6" t="s">
        <v>12</v>
      </c>
      <c r="E854" s="10" t="s">
        <v>35</v>
      </c>
      <c r="F854" s="12" t="s">
        <v>90</v>
      </c>
      <c r="G854" s="10" t="s">
        <v>77</v>
      </c>
      <c r="H854" s="10">
        <v>8500</v>
      </c>
      <c r="I854" s="6">
        <v>3</v>
      </c>
      <c r="J854" s="6">
        <f>H854*I854</f>
        <v>25500</v>
      </c>
    </row>
    <row r="855" spans="2:10" ht="20.100000000000001" customHeight="1" x14ac:dyDescent="0.25">
      <c r="B855" s="4">
        <v>45069</v>
      </c>
      <c r="C855" s="8" t="str">
        <f>"Ord-05-23-"&amp;TEXT(ROW(C117),"000")</f>
        <v>Ord-05-23-117</v>
      </c>
      <c r="D855" s="6" t="s">
        <v>13</v>
      </c>
      <c r="E855" s="10" t="s">
        <v>31</v>
      </c>
      <c r="F855" s="10" t="s">
        <v>52</v>
      </c>
      <c r="G855" s="10" t="s">
        <v>82</v>
      </c>
      <c r="H855" s="10">
        <v>5000</v>
      </c>
      <c r="I855" s="6">
        <v>2</v>
      </c>
      <c r="J855" s="6">
        <f>H855*I855</f>
        <v>10000</v>
      </c>
    </row>
    <row r="856" spans="2:10" ht="20.100000000000001" customHeight="1" x14ac:dyDescent="0.25">
      <c r="B856" s="4">
        <v>45069</v>
      </c>
      <c r="C856" s="8" t="str">
        <f>"Ord-05-23-"&amp;TEXT(ROW(C118),"000")</f>
        <v>Ord-05-23-118</v>
      </c>
      <c r="D856" s="6" t="s">
        <v>17</v>
      </c>
      <c r="E856" s="10" t="s">
        <v>36</v>
      </c>
      <c r="F856" s="10" t="s">
        <v>36</v>
      </c>
      <c r="G856" s="10" t="s">
        <v>85</v>
      </c>
      <c r="H856" s="10">
        <v>2200</v>
      </c>
      <c r="I856" s="6">
        <v>5</v>
      </c>
      <c r="J856" s="6">
        <f>H856*I856</f>
        <v>11000</v>
      </c>
    </row>
    <row r="857" spans="2:10" ht="20.100000000000001" customHeight="1" x14ac:dyDescent="0.25">
      <c r="B857" s="4">
        <v>45069</v>
      </c>
      <c r="C857" s="8" t="str">
        <f>"Ord-05-23-"&amp;TEXT(ROW(C119),"000")</f>
        <v>Ord-05-23-119</v>
      </c>
      <c r="D857" s="6" t="s">
        <v>22</v>
      </c>
      <c r="E857" s="10" t="s">
        <v>29</v>
      </c>
      <c r="F857" s="10" t="s">
        <v>39</v>
      </c>
      <c r="G857" s="10" t="s">
        <v>60</v>
      </c>
      <c r="H857" s="10">
        <v>1500</v>
      </c>
      <c r="I857" s="6">
        <v>5</v>
      </c>
      <c r="J857" s="6">
        <f>H857*I857</f>
        <v>7500</v>
      </c>
    </row>
    <row r="858" spans="2:10" ht="20.100000000000001" customHeight="1" x14ac:dyDescent="0.25">
      <c r="B858" s="4">
        <v>45069</v>
      </c>
      <c r="C858" s="8" t="str">
        <f>"Ord-05-23-"&amp;TEXT(ROW(C120),"000")</f>
        <v>Ord-05-23-120</v>
      </c>
      <c r="D858" s="6" t="s">
        <v>26</v>
      </c>
      <c r="E858" s="10" t="s">
        <v>27</v>
      </c>
      <c r="F858" s="10" t="s">
        <v>37</v>
      </c>
      <c r="G858" s="10" t="s">
        <v>54</v>
      </c>
      <c r="H858" s="10">
        <v>5000</v>
      </c>
      <c r="I858" s="6">
        <v>3</v>
      </c>
      <c r="J858" s="6">
        <f>H858*I858</f>
        <v>15000</v>
      </c>
    </row>
    <row r="859" spans="2:10" ht="20.100000000000001" customHeight="1" x14ac:dyDescent="0.25">
      <c r="B859" s="4">
        <v>45070</v>
      </c>
      <c r="C859" s="8" t="str">
        <f>"Ord-05-23-"&amp;TEXT(ROW(C121),"000")</f>
        <v>Ord-05-23-121</v>
      </c>
      <c r="D859" s="6" t="s">
        <v>18</v>
      </c>
      <c r="E859" s="10" t="s">
        <v>28</v>
      </c>
      <c r="F859" s="10" t="s">
        <v>28</v>
      </c>
      <c r="G859" s="10" t="s">
        <v>58</v>
      </c>
      <c r="H859" s="10">
        <v>1000</v>
      </c>
      <c r="I859" s="6">
        <v>2</v>
      </c>
      <c r="J859" s="6">
        <f>H859*I859</f>
        <v>2000</v>
      </c>
    </row>
    <row r="860" spans="2:10" ht="20.100000000000001" customHeight="1" x14ac:dyDescent="0.25">
      <c r="B860" s="4">
        <v>45070</v>
      </c>
      <c r="C860" s="8" t="str">
        <f>"Ord-05-23-"&amp;TEXT(ROW(C122),"000")</f>
        <v>Ord-05-23-122</v>
      </c>
      <c r="D860" s="6" t="s">
        <v>21</v>
      </c>
      <c r="E860" s="10" t="s">
        <v>29</v>
      </c>
      <c r="F860" s="10" t="s">
        <v>39</v>
      </c>
      <c r="G860" s="10" t="s">
        <v>60</v>
      </c>
      <c r="H860" s="10">
        <v>1500</v>
      </c>
      <c r="I860" s="6">
        <v>4</v>
      </c>
      <c r="J860" s="6">
        <f>H860*I860</f>
        <v>6000</v>
      </c>
    </row>
    <row r="861" spans="2:10" ht="20.100000000000001" customHeight="1" x14ac:dyDescent="0.25">
      <c r="B861" s="4">
        <v>45070</v>
      </c>
      <c r="C861" s="8" t="str">
        <f>"Ord-05-23-"&amp;TEXT(ROW(C123),"000")</f>
        <v>Ord-05-23-123</v>
      </c>
      <c r="D861" s="6" t="s">
        <v>25</v>
      </c>
      <c r="E861" s="10" t="s">
        <v>30</v>
      </c>
      <c r="F861" s="10" t="s">
        <v>90</v>
      </c>
      <c r="G861" s="10" t="s">
        <v>59</v>
      </c>
      <c r="H861" s="10">
        <v>4800</v>
      </c>
      <c r="I861" s="6">
        <v>1</v>
      </c>
      <c r="J861" s="6">
        <f>H861*I861</f>
        <v>4800</v>
      </c>
    </row>
    <row r="862" spans="2:10" ht="20.100000000000001" customHeight="1" x14ac:dyDescent="0.25">
      <c r="B862" s="4">
        <v>45070</v>
      </c>
      <c r="C862" s="8" t="str">
        <f>"Ord-05-23-"&amp;TEXT(ROW(C124),"000")</f>
        <v>Ord-05-23-124</v>
      </c>
      <c r="D862" s="6" t="s">
        <v>20</v>
      </c>
      <c r="E862" s="10" t="s">
        <v>27</v>
      </c>
      <c r="F862" s="10" t="s">
        <v>50</v>
      </c>
      <c r="G862" s="10" t="s">
        <v>64</v>
      </c>
      <c r="H862" s="10">
        <v>3000</v>
      </c>
      <c r="I862" s="6">
        <v>3</v>
      </c>
      <c r="J862" s="6">
        <f>H862*I862</f>
        <v>9000</v>
      </c>
    </row>
    <row r="863" spans="2:10" ht="20.100000000000001" customHeight="1" x14ac:dyDescent="0.25">
      <c r="B863" s="4">
        <v>45070</v>
      </c>
      <c r="C863" s="8" t="str">
        <f>"Ord-05-23-"&amp;TEXT(ROW(C125),"000")</f>
        <v>Ord-05-23-125</v>
      </c>
      <c r="D863" s="6" t="s">
        <v>17</v>
      </c>
      <c r="E863" s="10" t="s">
        <v>27</v>
      </c>
      <c r="F863" s="10" t="s">
        <v>38</v>
      </c>
      <c r="G863" s="10" t="s">
        <v>54</v>
      </c>
      <c r="H863" s="10">
        <v>5200</v>
      </c>
      <c r="I863" s="6">
        <v>3</v>
      </c>
      <c r="J863" s="6">
        <f>H863*I863</f>
        <v>15600</v>
      </c>
    </row>
    <row r="864" spans="2:10" ht="20.100000000000001" customHeight="1" x14ac:dyDescent="0.25">
      <c r="B864" s="4">
        <v>45071</v>
      </c>
      <c r="C864" s="8" t="str">
        <f>"Ord-05-23-"&amp;TEXT(ROW(C126),"000")</f>
        <v>Ord-05-23-126</v>
      </c>
      <c r="D864" s="6" t="s">
        <v>23</v>
      </c>
      <c r="E864" s="10" t="s">
        <v>32</v>
      </c>
      <c r="F864" s="10" t="s">
        <v>51</v>
      </c>
      <c r="G864" s="10" t="s">
        <v>81</v>
      </c>
      <c r="H864" s="10">
        <v>3000</v>
      </c>
      <c r="I864" s="6">
        <v>4</v>
      </c>
      <c r="J864" s="6">
        <f>H864*I864</f>
        <v>12000</v>
      </c>
    </row>
    <row r="865" spans="2:10" ht="20.100000000000001" customHeight="1" x14ac:dyDescent="0.25">
      <c r="B865" s="4">
        <v>45071</v>
      </c>
      <c r="C865" s="8" t="str">
        <f>"Ord-05-23-"&amp;TEXT(ROW(C127),"000")</f>
        <v>Ord-05-23-127</v>
      </c>
      <c r="D865" s="6" t="s">
        <v>19</v>
      </c>
      <c r="E865" s="10" t="s">
        <v>33</v>
      </c>
      <c r="F865" s="10" t="s">
        <v>47</v>
      </c>
      <c r="G865" s="10" t="s">
        <v>65</v>
      </c>
      <c r="H865" s="10">
        <v>25</v>
      </c>
      <c r="I865" s="6">
        <v>400</v>
      </c>
      <c r="J865" s="6">
        <f>H865*I865</f>
        <v>10000</v>
      </c>
    </row>
    <row r="866" spans="2:10" ht="20.100000000000001" customHeight="1" x14ac:dyDescent="0.25">
      <c r="B866" s="4">
        <v>45071</v>
      </c>
      <c r="C866" s="8" t="str">
        <f>"Ord-05-23-"&amp;TEXT(ROW(C128),"000")</f>
        <v>Ord-05-23-128</v>
      </c>
      <c r="D866" s="6" t="s">
        <v>7</v>
      </c>
      <c r="E866" s="10" t="s">
        <v>31</v>
      </c>
      <c r="F866" s="10" t="s">
        <v>45</v>
      </c>
      <c r="G866" s="10" t="s">
        <v>63</v>
      </c>
      <c r="H866" s="10">
        <v>1800</v>
      </c>
      <c r="I866" s="6">
        <v>5</v>
      </c>
      <c r="J866" s="6">
        <f>H866*I866</f>
        <v>9000</v>
      </c>
    </row>
    <row r="867" spans="2:10" ht="20.100000000000001" customHeight="1" x14ac:dyDescent="0.25">
      <c r="B867" s="4">
        <v>45071</v>
      </c>
      <c r="C867" s="8" t="str">
        <f>"Ord-05-23-"&amp;TEXT(ROW(C129),"000")</f>
        <v>Ord-05-23-129</v>
      </c>
      <c r="D867" s="6" t="s">
        <v>17</v>
      </c>
      <c r="E867" s="10" t="s">
        <v>31</v>
      </c>
      <c r="F867" s="10" t="s">
        <v>45</v>
      </c>
      <c r="G867" s="10" t="s">
        <v>66</v>
      </c>
      <c r="H867" s="10">
        <v>2300</v>
      </c>
      <c r="I867" s="6">
        <v>1</v>
      </c>
      <c r="J867" s="6">
        <f>H867*I867</f>
        <v>2300</v>
      </c>
    </row>
    <row r="868" spans="2:10" ht="20.100000000000001" customHeight="1" x14ac:dyDescent="0.25">
      <c r="B868" s="4">
        <v>45071</v>
      </c>
      <c r="C868" s="8" t="str">
        <f>"Ord-05-23-"&amp;TEXT(ROW(C130),"000")</f>
        <v>Ord-05-23-130</v>
      </c>
      <c r="D868" s="6" t="s">
        <v>23</v>
      </c>
      <c r="E868" s="10" t="s">
        <v>29</v>
      </c>
      <c r="F868" s="10" t="s">
        <v>40</v>
      </c>
      <c r="G868" s="10" t="s">
        <v>57</v>
      </c>
      <c r="H868" s="10">
        <v>4000</v>
      </c>
      <c r="I868" s="6">
        <v>1</v>
      </c>
      <c r="J868" s="6">
        <f>H868*I868</f>
        <v>4000</v>
      </c>
    </row>
    <row r="869" spans="2:10" ht="20.100000000000001" customHeight="1" x14ac:dyDescent="0.25">
      <c r="B869" s="4">
        <v>45072</v>
      </c>
      <c r="C869" s="8" t="str">
        <f>"Ord-05-23-"&amp;TEXT(ROW(C131),"000")</f>
        <v>Ord-05-23-131</v>
      </c>
      <c r="D869" s="6" t="s">
        <v>24</v>
      </c>
      <c r="E869" s="10" t="s">
        <v>33</v>
      </c>
      <c r="F869" s="10" t="s">
        <v>47</v>
      </c>
      <c r="G869" s="10" t="s">
        <v>65</v>
      </c>
      <c r="H869" s="10">
        <v>25</v>
      </c>
      <c r="I869" s="6">
        <v>360</v>
      </c>
      <c r="J869" s="6">
        <f>H869*I869</f>
        <v>9000</v>
      </c>
    </row>
    <row r="870" spans="2:10" ht="20.100000000000001" customHeight="1" x14ac:dyDescent="0.25">
      <c r="B870" s="4">
        <v>45072</v>
      </c>
      <c r="C870" s="8" t="str">
        <f>"Ord-05-23-"&amp;TEXT(ROW(C132),"000")</f>
        <v>Ord-05-23-132</v>
      </c>
      <c r="D870" s="6" t="s">
        <v>25</v>
      </c>
      <c r="E870" s="10" t="s">
        <v>33</v>
      </c>
      <c r="F870" s="10" t="s">
        <v>47</v>
      </c>
      <c r="G870" s="10" t="s">
        <v>65</v>
      </c>
      <c r="H870" s="10">
        <v>25</v>
      </c>
      <c r="I870" s="6">
        <v>300</v>
      </c>
      <c r="J870" s="6">
        <f>H870*I870</f>
        <v>7500</v>
      </c>
    </row>
    <row r="871" spans="2:10" ht="20.100000000000001" customHeight="1" x14ac:dyDescent="0.25">
      <c r="B871" s="4">
        <v>45072</v>
      </c>
      <c r="C871" s="8" t="str">
        <f>"Ord-05-23-"&amp;TEXT(ROW(C133),"000")</f>
        <v>Ord-05-23-133</v>
      </c>
      <c r="D871" s="6" t="s">
        <v>23</v>
      </c>
      <c r="E871" s="10" t="s">
        <v>27</v>
      </c>
      <c r="F871" s="10" t="s">
        <v>50</v>
      </c>
      <c r="G871" s="10" t="s">
        <v>54</v>
      </c>
      <c r="H871" s="10">
        <v>3200</v>
      </c>
      <c r="I871" s="6">
        <v>1</v>
      </c>
      <c r="J871" s="6">
        <f>H871*I871</f>
        <v>3200</v>
      </c>
    </row>
    <row r="872" spans="2:10" ht="20.100000000000001" customHeight="1" x14ac:dyDescent="0.25">
      <c r="B872" s="4">
        <v>45072</v>
      </c>
      <c r="C872" s="8" t="str">
        <f>"Ord-05-23-"&amp;TEXT(ROW(C134),"000")</f>
        <v>Ord-05-23-134</v>
      </c>
      <c r="D872" s="6" t="s">
        <v>18</v>
      </c>
      <c r="E872" s="10" t="s">
        <v>27</v>
      </c>
      <c r="F872" s="10" t="s">
        <v>38</v>
      </c>
      <c r="G872" s="10" t="s">
        <v>64</v>
      </c>
      <c r="H872" s="10">
        <v>4800</v>
      </c>
      <c r="I872" s="6">
        <v>1</v>
      </c>
      <c r="J872" s="6">
        <f>H872*I872</f>
        <v>4800</v>
      </c>
    </row>
    <row r="873" spans="2:10" ht="20.100000000000001" customHeight="1" x14ac:dyDescent="0.25">
      <c r="B873" s="4">
        <v>45072</v>
      </c>
      <c r="C873" s="8" t="str">
        <f>"Ord-05-23-"&amp;TEXT(ROW(C135),"000")</f>
        <v>Ord-05-23-135</v>
      </c>
      <c r="D873" s="6" t="s">
        <v>23</v>
      </c>
      <c r="E873" s="10" t="s">
        <v>27</v>
      </c>
      <c r="F873" s="10" t="s">
        <v>37</v>
      </c>
      <c r="G873" s="10" t="s">
        <v>54</v>
      </c>
      <c r="H873" s="10">
        <v>5000</v>
      </c>
      <c r="I873" s="6">
        <v>5</v>
      </c>
      <c r="J873" s="6">
        <f>H873*I873</f>
        <v>25000</v>
      </c>
    </row>
    <row r="874" spans="2:10" ht="20.100000000000001" customHeight="1" x14ac:dyDescent="0.25">
      <c r="B874" s="4">
        <v>45073</v>
      </c>
      <c r="C874" s="8" t="str">
        <f>"Ord-05-23-"&amp;TEXT(ROW(C136),"000")</f>
        <v>Ord-05-23-136</v>
      </c>
      <c r="D874" s="6" t="s">
        <v>13</v>
      </c>
      <c r="E874" s="10" t="s">
        <v>28</v>
      </c>
      <c r="F874" s="10" t="s">
        <v>28</v>
      </c>
      <c r="G874" s="10" t="s">
        <v>79</v>
      </c>
      <c r="H874" s="10">
        <v>600</v>
      </c>
      <c r="I874" s="6">
        <v>3</v>
      </c>
      <c r="J874" s="6">
        <f>H874*I874</f>
        <v>1800</v>
      </c>
    </row>
    <row r="875" spans="2:10" ht="20.100000000000001" customHeight="1" x14ac:dyDescent="0.25">
      <c r="B875" s="4">
        <v>45073</v>
      </c>
      <c r="C875" s="8" t="str">
        <f>"Ord-05-23-"&amp;TEXT(ROW(C137),"000")</f>
        <v>Ord-05-23-137</v>
      </c>
      <c r="D875" s="6" t="s">
        <v>25</v>
      </c>
      <c r="E875" s="10" t="s">
        <v>28</v>
      </c>
      <c r="F875" s="10" t="s">
        <v>28</v>
      </c>
      <c r="G875" s="10" t="s">
        <v>77</v>
      </c>
      <c r="H875" s="10">
        <v>1200</v>
      </c>
      <c r="I875" s="6">
        <v>3</v>
      </c>
      <c r="J875" s="6">
        <f>H875*I875</f>
        <v>3600</v>
      </c>
    </row>
    <row r="876" spans="2:10" ht="20.100000000000001" customHeight="1" x14ac:dyDescent="0.25">
      <c r="B876" s="4">
        <v>45073</v>
      </c>
      <c r="C876" s="8" t="str">
        <f>"Ord-05-23-"&amp;TEXT(ROW(C138),"000")</f>
        <v>Ord-05-23-138</v>
      </c>
      <c r="D876" s="6" t="s">
        <v>14</v>
      </c>
      <c r="E876" s="10" t="s">
        <v>36</v>
      </c>
      <c r="F876" s="10" t="s">
        <v>36</v>
      </c>
      <c r="G876" s="10" t="s">
        <v>78</v>
      </c>
      <c r="H876" s="10">
        <v>2500</v>
      </c>
      <c r="I876" s="6">
        <v>5</v>
      </c>
      <c r="J876" s="6">
        <f>H876*I876</f>
        <v>12500</v>
      </c>
    </row>
    <row r="877" spans="2:10" ht="20.100000000000001" customHeight="1" x14ac:dyDescent="0.25">
      <c r="B877" s="4">
        <v>45073</v>
      </c>
      <c r="C877" s="8" t="str">
        <f>"Ord-05-23-"&amp;TEXT(ROW(C139),"000")</f>
        <v>Ord-05-23-139</v>
      </c>
      <c r="D877" s="6" t="s">
        <v>24</v>
      </c>
      <c r="E877" s="10" t="s">
        <v>29</v>
      </c>
      <c r="F877" s="10" t="s">
        <v>39</v>
      </c>
      <c r="G877" s="10" t="s">
        <v>60</v>
      </c>
      <c r="H877" s="10">
        <v>1500</v>
      </c>
      <c r="I877" s="6">
        <v>4</v>
      </c>
      <c r="J877" s="6">
        <f>H877*I877</f>
        <v>6000</v>
      </c>
    </row>
    <row r="878" spans="2:10" ht="20.100000000000001" customHeight="1" x14ac:dyDescent="0.25">
      <c r="B878" s="4">
        <v>45073</v>
      </c>
      <c r="C878" s="8" t="str">
        <f>"Ord-05-23-"&amp;TEXT(ROW(C140),"000")</f>
        <v>Ord-05-23-140</v>
      </c>
      <c r="D878" s="6" t="s">
        <v>18</v>
      </c>
      <c r="E878" s="10" t="s">
        <v>30</v>
      </c>
      <c r="F878" s="10" t="s">
        <v>90</v>
      </c>
      <c r="G878" s="10" t="s">
        <v>59</v>
      </c>
      <c r="H878" s="10">
        <v>4800</v>
      </c>
      <c r="I878" s="6">
        <v>1</v>
      </c>
      <c r="J878" s="6">
        <f>H878*I878</f>
        <v>4800</v>
      </c>
    </row>
    <row r="879" spans="2:10" ht="20.100000000000001" customHeight="1" x14ac:dyDescent="0.25">
      <c r="B879" s="4">
        <v>45074</v>
      </c>
      <c r="C879" s="8" t="str">
        <f>"Ord-05-23-"&amp;TEXT(ROW(C141),"000")</f>
        <v>Ord-05-23-141</v>
      </c>
      <c r="D879" s="6" t="s">
        <v>10</v>
      </c>
      <c r="E879" s="10" t="s">
        <v>32</v>
      </c>
      <c r="F879" s="10" t="s">
        <v>44</v>
      </c>
      <c r="G879" s="10" t="s">
        <v>87</v>
      </c>
      <c r="H879" s="10">
        <v>1500</v>
      </c>
      <c r="I879" s="6">
        <v>5</v>
      </c>
      <c r="J879" s="6">
        <f>H879*I879</f>
        <v>7500</v>
      </c>
    </row>
    <row r="880" spans="2:10" ht="20.100000000000001" customHeight="1" x14ac:dyDescent="0.25">
      <c r="B880" s="4">
        <v>45074</v>
      </c>
      <c r="C880" s="8" t="str">
        <f>"Ord-05-23-"&amp;TEXT(ROW(C142),"000")</f>
        <v>Ord-05-23-142</v>
      </c>
      <c r="D880" s="6" t="s">
        <v>10</v>
      </c>
      <c r="E880" s="10" t="s">
        <v>31</v>
      </c>
      <c r="F880" s="10" t="s">
        <v>45</v>
      </c>
      <c r="G880" s="10" t="s">
        <v>63</v>
      </c>
      <c r="H880" s="10">
        <v>1800</v>
      </c>
      <c r="I880" s="6">
        <v>2</v>
      </c>
      <c r="J880" s="6">
        <f>H880*I880</f>
        <v>3600</v>
      </c>
    </row>
    <row r="881" spans="2:10" ht="20.100000000000001" customHeight="1" x14ac:dyDescent="0.25">
      <c r="B881" s="4">
        <v>45074</v>
      </c>
      <c r="C881" s="8" t="str">
        <f>"Ord-05-23-"&amp;TEXT(ROW(C143),"000")</f>
        <v>Ord-05-23-143</v>
      </c>
      <c r="D881" s="6" t="s">
        <v>15</v>
      </c>
      <c r="E881" s="10" t="s">
        <v>31</v>
      </c>
      <c r="F881" s="10" t="s">
        <v>45</v>
      </c>
      <c r="G881" s="10" t="s">
        <v>63</v>
      </c>
      <c r="H881" s="10">
        <v>1800</v>
      </c>
      <c r="I881" s="6">
        <v>3</v>
      </c>
      <c r="J881" s="6">
        <f>H881*I881</f>
        <v>5400</v>
      </c>
    </row>
    <row r="882" spans="2:10" ht="20.100000000000001" customHeight="1" x14ac:dyDescent="0.25">
      <c r="B882" s="4">
        <v>45074</v>
      </c>
      <c r="C882" s="8" t="str">
        <f>"Ord-05-23-"&amp;TEXT(ROW(C144),"000")</f>
        <v>Ord-05-23-144</v>
      </c>
      <c r="D882" s="6" t="s">
        <v>19</v>
      </c>
      <c r="E882" s="10" t="s">
        <v>31</v>
      </c>
      <c r="F882" s="10" t="s">
        <v>45</v>
      </c>
      <c r="G882" s="10" t="s">
        <v>67</v>
      </c>
      <c r="H882" s="10">
        <v>8500</v>
      </c>
      <c r="I882" s="6">
        <v>1</v>
      </c>
      <c r="J882" s="6">
        <f>H882*I882</f>
        <v>8500</v>
      </c>
    </row>
    <row r="883" spans="2:10" ht="20.100000000000001" customHeight="1" x14ac:dyDescent="0.25">
      <c r="B883" s="4">
        <v>45074</v>
      </c>
      <c r="C883" s="8" t="str">
        <f>"Ord-05-23-"&amp;TEXT(ROW(C145),"000")</f>
        <v>Ord-05-23-145</v>
      </c>
      <c r="D883" s="6" t="s">
        <v>11</v>
      </c>
      <c r="E883" s="10" t="s">
        <v>29</v>
      </c>
      <c r="F883" s="10" t="s">
        <v>40</v>
      </c>
      <c r="G883" s="10" t="s">
        <v>84</v>
      </c>
      <c r="H883" s="10">
        <v>7500</v>
      </c>
      <c r="I883" s="6">
        <v>5</v>
      </c>
      <c r="J883" s="6">
        <f>H883*I883</f>
        <v>37500</v>
      </c>
    </row>
    <row r="884" spans="2:10" ht="20.100000000000001" customHeight="1" x14ac:dyDescent="0.25">
      <c r="B884" s="4">
        <v>45075</v>
      </c>
      <c r="C884" s="8" t="str">
        <f>"Ord-05-23-"&amp;TEXT(ROW(C146),"000")</f>
        <v>Ord-05-23-146</v>
      </c>
      <c r="D884" s="6" t="s">
        <v>12</v>
      </c>
      <c r="E884" s="10" t="s">
        <v>35</v>
      </c>
      <c r="F884" s="12" t="s">
        <v>90</v>
      </c>
      <c r="G884" s="10" t="s">
        <v>71</v>
      </c>
      <c r="H884" s="10">
        <v>5500</v>
      </c>
      <c r="I884" s="6">
        <v>5</v>
      </c>
      <c r="J884" s="6">
        <f>H884*I884</f>
        <v>27500</v>
      </c>
    </row>
    <row r="885" spans="2:10" ht="20.100000000000001" customHeight="1" x14ac:dyDescent="0.25">
      <c r="B885" s="4">
        <v>45075</v>
      </c>
      <c r="C885" s="8" t="str">
        <f>"Ord-05-23-"&amp;TEXT(ROW(C147),"000")</f>
        <v>Ord-05-23-147</v>
      </c>
      <c r="D885" s="6" t="s">
        <v>20</v>
      </c>
      <c r="E885" s="10" t="s">
        <v>33</v>
      </c>
      <c r="F885" s="10" t="s">
        <v>47</v>
      </c>
      <c r="G885" s="10" t="s">
        <v>65</v>
      </c>
      <c r="H885" s="10">
        <v>25</v>
      </c>
      <c r="I885" s="6">
        <v>400</v>
      </c>
      <c r="J885" s="6">
        <f>H885*I885</f>
        <v>10000</v>
      </c>
    </row>
    <row r="886" spans="2:10" ht="20.100000000000001" customHeight="1" x14ac:dyDescent="0.25">
      <c r="B886" s="4">
        <v>45075</v>
      </c>
      <c r="C886" s="8" t="str">
        <f>"Ord-05-23-"&amp;TEXT(ROW(C148),"000")</f>
        <v>Ord-05-23-148</v>
      </c>
      <c r="D886" s="6" t="s">
        <v>15</v>
      </c>
      <c r="E886" s="10" t="s">
        <v>31</v>
      </c>
      <c r="F886" s="10" t="s">
        <v>52</v>
      </c>
      <c r="G886" s="10" t="s">
        <v>67</v>
      </c>
      <c r="H886" s="10">
        <v>4000</v>
      </c>
      <c r="I886" s="6">
        <v>4</v>
      </c>
      <c r="J886" s="6">
        <f>H886*I886</f>
        <v>16000</v>
      </c>
    </row>
    <row r="887" spans="2:10" ht="20.100000000000001" customHeight="1" x14ac:dyDescent="0.25">
      <c r="B887" s="4">
        <v>45075</v>
      </c>
      <c r="C887" s="8" t="str">
        <f>"Ord-05-23-"&amp;TEXT(ROW(C149),"000")</f>
        <v>Ord-05-23-149</v>
      </c>
      <c r="D887" s="6" t="s">
        <v>25</v>
      </c>
      <c r="E887" s="10" t="s">
        <v>27</v>
      </c>
      <c r="F887" s="10" t="s">
        <v>38</v>
      </c>
      <c r="G887" s="10" t="s">
        <v>64</v>
      </c>
      <c r="H887" s="10">
        <v>4800</v>
      </c>
      <c r="I887" s="6">
        <v>2</v>
      </c>
      <c r="J887" s="6">
        <f>H887*I887</f>
        <v>9600</v>
      </c>
    </row>
    <row r="888" spans="2:10" ht="20.100000000000001" customHeight="1" x14ac:dyDescent="0.25">
      <c r="B888" s="4">
        <v>45075</v>
      </c>
      <c r="C888" s="8" t="str">
        <f>"Ord-05-23-"&amp;TEXT(ROW(C150),"000")</f>
        <v>Ord-05-23-150</v>
      </c>
      <c r="D888" s="6" t="s">
        <v>15</v>
      </c>
      <c r="E888" s="10" t="s">
        <v>34</v>
      </c>
      <c r="F888" s="10" t="s">
        <v>49</v>
      </c>
      <c r="G888" s="10" t="s">
        <v>68</v>
      </c>
      <c r="H888" s="10">
        <v>4000</v>
      </c>
      <c r="I888" s="6">
        <v>2</v>
      </c>
      <c r="J888" s="6">
        <f>H888*I888</f>
        <v>8000</v>
      </c>
    </row>
    <row r="889" spans="2:10" ht="20.100000000000001" customHeight="1" x14ac:dyDescent="0.25">
      <c r="B889" s="4">
        <v>45076</v>
      </c>
      <c r="C889" s="8" t="str">
        <f>"Ord-05-23-"&amp;TEXT(ROW(C151),"000")</f>
        <v>Ord-05-23-151</v>
      </c>
      <c r="D889" s="6" t="s">
        <v>13</v>
      </c>
      <c r="E889" s="10" t="s">
        <v>31</v>
      </c>
      <c r="F889" s="10" t="s">
        <v>45</v>
      </c>
      <c r="G889" s="10" t="s">
        <v>59</v>
      </c>
      <c r="H889" s="10">
        <v>4000</v>
      </c>
      <c r="I889" s="6">
        <v>1</v>
      </c>
      <c r="J889" s="6">
        <f>H889*I889</f>
        <v>4000</v>
      </c>
    </row>
    <row r="890" spans="2:10" ht="20.100000000000001" customHeight="1" x14ac:dyDescent="0.25">
      <c r="B890" s="4">
        <v>45076</v>
      </c>
      <c r="C890" s="8" t="str">
        <f>"Ord-05-23-"&amp;TEXT(ROW(C152),"000")</f>
        <v>Ord-05-23-152</v>
      </c>
      <c r="D890" s="6" t="s">
        <v>14</v>
      </c>
      <c r="E890" s="10" t="s">
        <v>31</v>
      </c>
      <c r="F890" s="10" t="s">
        <v>52</v>
      </c>
      <c r="G890" s="10" t="s">
        <v>67</v>
      </c>
      <c r="H890" s="10">
        <v>4000</v>
      </c>
      <c r="I890" s="6">
        <v>1</v>
      </c>
      <c r="J890" s="6">
        <f>H890*I890</f>
        <v>4000</v>
      </c>
    </row>
    <row r="891" spans="2:10" ht="20.100000000000001" customHeight="1" x14ac:dyDescent="0.25">
      <c r="B891" s="4">
        <v>45076</v>
      </c>
      <c r="C891" s="8" t="str">
        <f>"Ord-05-23-"&amp;TEXT(ROW(C153),"000")</f>
        <v>Ord-05-23-153</v>
      </c>
      <c r="D891" s="6" t="s">
        <v>14</v>
      </c>
      <c r="E891" s="10" t="s">
        <v>36</v>
      </c>
      <c r="F891" s="10" t="s">
        <v>36</v>
      </c>
      <c r="G891" s="10" t="s">
        <v>85</v>
      </c>
      <c r="H891" s="10">
        <v>2200</v>
      </c>
      <c r="I891" s="6">
        <v>4</v>
      </c>
      <c r="J891" s="6">
        <f>H891*I891</f>
        <v>8800</v>
      </c>
    </row>
    <row r="892" spans="2:10" ht="20.100000000000001" customHeight="1" x14ac:dyDescent="0.25">
      <c r="B892" s="4">
        <v>45076</v>
      </c>
      <c r="C892" s="8" t="str">
        <f>"Ord-05-23-"&amp;TEXT(ROW(C154),"000")</f>
        <v>Ord-05-23-154</v>
      </c>
      <c r="D892" s="6" t="s">
        <v>15</v>
      </c>
      <c r="E892" s="10" t="s">
        <v>27</v>
      </c>
      <c r="F892" s="10" t="s">
        <v>41</v>
      </c>
      <c r="G892" s="10" t="s">
        <v>64</v>
      </c>
      <c r="H892" s="10">
        <v>2500</v>
      </c>
      <c r="I892" s="6">
        <v>1</v>
      </c>
      <c r="J892" s="6">
        <f>H892*I892</f>
        <v>2500</v>
      </c>
    </row>
    <row r="893" spans="2:10" ht="20.100000000000001" customHeight="1" x14ac:dyDescent="0.25">
      <c r="B893" s="4">
        <v>45076</v>
      </c>
      <c r="C893" s="8" t="str">
        <f>"Ord-05-23-"&amp;TEXT(ROW(C155),"000")</f>
        <v>Ord-05-23-155</v>
      </c>
      <c r="D893" s="6" t="s">
        <v>7</v>
      </c>
      <c r="E893" s="10" t="s">
        <v>34</v>
      </c>
      <c r="F893" s="10" t="s">
        <v>49</v>
      </c>
      <c r="G893" s="10" t="s">
        <v>75</v>
      </c>
      <c r="H893" s="10">
        <v>4300</v>
      </c>
      <c r="I893" s="6">
        <v>2</v>
      </c>
      <c r="J893" s="6">
        <f>H893*I893</f>
        <v>8600</v>
      </c>
    </row>
    <row r="894" spans="2:10" ht="20.100000000000001" customHeight="1" x14ac:dyDescent="0.25">
      <c r="B894" s="4">
        <v>45077</v>
      </c>
      <c r="C894" s="8" t="str">
        <f>"Ord-05-23-"&amp;TEXT(ROW(C156),"000")</f>
        <v>Ord-05-23-156</v>
      </c>
      <c r="D894" s="6" t="s">
        <v>16</v>
      </c>
      <c r="E894" s="10" t="s">
        <v>28</v>
      </c>
      <c r="F894" s="10" t="s">
        <v>28</v>
      </c>
      <c r="G894" s="10" t="s">
        <v>71</v>
      </c>
      <c r="H894" s="13">
        <v>850</v>
      </c>
      <c r="I894" s="6">
        <v>3</v>
      </c>
      <c r="J894" s="6">
        <f>H894*I894</f>
        <v>2550</v>
      </c>
    </row>
    <row r="895" spans="2:10" ht="20.100000000000001" customHeight="1" x14ac:dyDescent="0.25">
      <c r="B895" s="4">
        <v>45077</v>
      </c>
      <c r="C895" s="8" t="str">
        <f>"Ord-05-23-"&amp;TEXT(ROW(C157),"000")</f>
        <v>Ord-05-23-157</v>
      </c>
      <c r="D895" s="6" t="s">
        <v>9</v>
      </c>
      <c r="E895" s="10" t="s">
        <v>31</v>
      </c>
      <c r="F895" s="10" t="s">
        <v>52</v>
      </c>
      <c r="G895" s="10" t="s">
        <v>66</v>
      </c>
      <c r="H895" s="10">
        <v>3200</v>
      </c>
      <c r="I895" s="6">
        <v>1</v>
      </c>
      <c r="J895" s="6">
        <f>H895*I895</f>
        <v>3200</v>
      </c>
    </row>
    <row r="896" spans="2:10" ht="20.100000000000001" customHeight="1" x14ac:dyDescent="0.25">
      <c r="B896" s="4">
        <v>45077</v>
      </c>
      <c r="C896" s="8" t="str">
        <f>"Ord-05-23-"&amp;TEXT(ROW(C158),"000")</f>
        <v>Ord-05-23-158</v>
      </c>
      <c r="D896" s="6" t="s">
        <v>10</v>
      </c>
      <c r="E896" s="10" t="s">
        <v>27</v>
      </c>
      <c r="F896" s="10" t="s">
        <v>42</v>
      </c>
      <c r="G896" s="10" t="s">
        <v>42</v>
      </c>
      <c r="H896" s="10">
        <v>2500</v>
      </c>
      <c r="I896" s="6">
        <v>5</v>
      </c>
      <c r="J896" s="6">
        <f>H896*I896</f>
        <v>12500</v>
      </c>
    </row>
    <row r="897" spans="2:10" ht="20.100000000000001" customHeight="1" x14ac:dyDescent="0.25">
      <c r="B897" s="4">
        <v>45077</v>
      </c>
      <c r="C897" s="8" t="str">
        <f>"Ord-05-23-"&amp;TEXT(ROW(C159),"000")</f>
        <v>Ord-05-23-159</v>
      </c>
      <c r="D897" s="6" t="s">
        <v>18</v>
      </c>
      <c r="E897" s="10" t="s">
        <v>27</v>
      </c>
      <c r="F897" s="10" t="s">
        <v>50</v>
      </c>
      <c r="G897" s="10" t="s">
        <v>54</v>
      </c>
      <c r="H897" s="10">
        <v>3200</v>
      </c>
      <c r="I897" s="6">
        <v>4</v>
      </c>
      <c r="J897" s="6">
        <f>H897*I897</f>
        <v>12800</v>
      </c>
    </row>
    <row r="898" spans="2:10" ht="20.100000000000001" customHeight="1" x14ac:dyDescent="0.25">
      <c r="B898" s="4">
        <v>45077</v>
      </c>
      <c r="C898" s="8" t="str">
        <f>"Ord-05-23-"&amp;TEXT(ROW(C160),"000")</f>
        <v>Ord-05-23-160</v>
      </c>
      <c r="D898" s="6" t="s">
        <v>18</v>
      </c>
      <c r="E898" s="10" t="s">
        <v>27</v>
      </c>
      <c r="F898" s="10" t="s">
        <v>41</v>
      </c>
      <c r="G898" s="10" t="s">
        <v>64</v>
      </c>
      <c r="H898" s="10">
        <v>2500</v>
      </c>
      <c r="I898" s="6">
        <v>5</v>
      </c>
      <c r="J898" s="6">
        <f>H898*I898</f>
        <v>12500</v>
      </c>
    </row>
    <row r="899" spans="2:10" ht="20.100000000000001" customHeight="1" x14ac:dyDescent="0.25">
      <c r="B899" s="4">
        <v>45078</v>
      </c>
      <c r="C899" s="8" t="str">
        <f>"Ord-06-23-"&amp;TEXT(ROW(C1),"000")</f>
        <v>Ord-06-23-001</v>
      </c>
      <c r="D899" s="6" t="s">
        <v>24</v>
      </c>
      <c r="E899" s="10" t="s">
        <v>32</v>
      </c>
      <c r="F899" s="10" t="s">
        <v>44</v>
      </c>
      <c r="G899" s="10" t="s">
        <v>72</v>
      </c>
      <c r="H899" s="10">
        <v>2200</v>
      </c>
      <c r="I899" s="6">
        <v>1</v>
      </c>
      <c r="J899" s="6">
        <f>H899*I899</f>
        <v>2200</v>
      </c>
    </row>
    <row r="900" spans="2:10" ht="20.100000000000001" customHeight="1" x14ac:dyDescent="0.25">
      <c r="B900" s="4">
        <v>45078</v>
      </c>
      <c r="C900" s="8" t="str">
        <f>"Ord-06-23-"&amp;TEXT(ROW(C2),"000")</f>
        <v>Ord-06-23-002</v>
      </c>
      <c r="D900" s="6" t="s">
        <v>17</v>
      </c>
      <c r="E900" s="10" t="s">
        <v>31</v>
      </c>
      <c r="F900" s="10" t="s">
        <v>52</v>
      </c>
      <c r="G900" s="10" t="s">
        <v>73</v>
      </c>
      <c r="H900" s="10">
        <v>2500</v>
      </c>
      <c r="I900" s="6">
        <v>4</v>
      </c>
      <c r="J900" s="6">
        <f>H900*I900</f>
        <v>10000</v>
      </c>
    </row>
    <row r="901" spans="2:10" ht="20.100000000000001" customHeight="1" x14ac:dyDescent="0.25">
      <c r="B901" s="4">
        <v>45078</v>
      </c>
      <c r="C901" s="8" t="str">
        <f>"Ord-06-23-"&amp;TEXT(ROW(C3),"000")</f>
        <v>Ord-06-23-003</v>
      </c>
      <c r="D901" s="6" t="s">
        <v>17</v>
      </c>
      <c r="E901" s="10" t="s">
        <v>36</v>
      </c>
      <c r="F901" s="10" t="s">
        <v>36</v>
      </c>
      <c r="G901" s="10" t="s">
        <v>41</v>
      </c>
      <c r="H901" s="10">
        <v>2000</v>
      </c>
      <c r="I901" s="6">
        <v>3</v>
      </c>
      <c r="J901" s="6">
        <f>H901*I901</f>
        <v>6000</v>
      </c>
    </row>
    <row r="902" spans="2:10" ht="20.100000000000001" customHeight="1" x14ac:dyDescent="0.25">
      <c r="B902" s="4">
        <v>45078</v>
      </c>
      <c r="C902" s="8" t="str">
        <f>"Ord-06-23-"&amp;TEXT(ROW(C4),"000")</f>
        <v>Ord-06-23-004</v>
      </c>
      <c r="D902" s="6" t="s">
        <v>23</v>
      </c>
      <c r="E902" s="10" t="s">
        <v>27</v>
      </c>
      <c r="F902" s="10" t="s">
        <v>42</v>
      </c>
      <c r="G902" s="10" t="s">
        <v>42</v>
      </c>
      <c r="H902" s="10">
        <v>2500</v>
      </c>
      <c r="I902" s="6">
        <v>5</v>
      </c>
      <c r="J902" s="6">
        <f>H902*I902</f>
        <v>12500</v>
      </c>
    </row>
    <row r="903" spans="2:10" ht="20.100000000000001" customHeight="1" x14ac:dyDescent="0.25">
      <c r="B903" s="4">
        <v>45078</v>
      </c>
      <c r="C903" s="8" t="str">
        <f>"Ord-06-23-"&amp;TEXT(ROW(C5),"000")</f>
        <v>Ord-06-23-005</v>
      </c>
      <c r="D903" s="6" t="s">
        <v>7</v>
      </c>
      <c r="E903" s="10" t="s">
        <v>27</v>
      </c>
      <c r="F903" s="10" t="s">
        <v>50</v>
      </c>
      <c r="G903" s="10" t="s">
        <v>53</v>
      </c>
      <c r="H903" s="10">
        <v>3500</v>
      </c>
      <c r="I903" s="6">
        <v>3</v>
      </c>
      <c r="J903" s="6">
        <f>H903*I903</f>
        <v>10500</v>
      </c>
    </row>
    <row r="904" spans="2:10" ht="20.100000000000001" customHeight="1" x14ac:dyDescent="0.25">
      <c r="B904" s="4">
        <v>45079</v>
      </c>
      <c r="C904" s="8" t="str">
        <f>"Ord-06-23-"&amp;TEXT(ROW(C6),"000")</f>
        <v>Ord-06-23-006</v>
      </c>
      <c r="D904" s="6" t="s">
        <v>26</v>
      </c>
      <c r="E904" s="10" t="s">
        <v>31</v>
      </c>
      <c r="F904" s="10" t="s">
        <v>43</v>
      </c>
      <c r="G904" s="10" t="s">
        <v>67</v>
      </c>
      <c r="H904" s="10">
        <v>14500</v>
      </c>
      <c r="I904" s="6">
        <v>3</v>
      </c>
      <c r="J904" s="6">
        <f>H904*I904</f>
        <v>43500</v>
      </c>
    </row>
    <row r="905" spans="2:10" ht="20.100000000000001" customHeight="1" x14ac:dyDescent="0.25">
      <c r="B905" s="4">
        <v>45079</v>
      </c>
      <c r="C905" s="8" t="str">
        <f>"Ord-06-23-"&amp;TEXT(ROW(C7),"000")</f>
        <v>Ord-06-23-007</v>
      </c>
      <c r="D905" s="6" t="s">
        <v>21</v>
      </c>
      <c r="E905" s="10" t="s">
        <v>31</v>
      </c>
      <c r="F905" s="10" t="s">
        <v>45</v>
      </c>
      <c r="G905" s="10" t="s">
        <v>66</v>
      </c>
      <c r="H905" s="10">
        <v>2300</v>
      </c>
      <c r="I905" s="6">
        <v>5</v>
      </c>
      <c r="J905" s="6">
        <f>H905*I905</f>
        <v>11500</v>
      </c>
    </row>
    <row r="906" spans="2:10" ht="20.100000000000001" customHeight="1" x14ac:dyDescent="0.25">
      <c r="B906" s="4">
        <v>45079</v>
      </c>
      <c r="C906" s="8" t="str">
        <f>"Ord-06-23-"&amp;TEXT(ROW(C8),"000")</f>
        <v>Ord-06-23-008</v>
      </c>
      <c r="D906" s="6" t="s">
        <v>12</v>
      </c>
      <c r="E906" s="10" t="s">
        <v>31</v>
      </c>
      <c r="F906" s="10" t="s">
        <v>45</v>
      </c>
      <c r="G906" s="10" t="s">
        <v>66</v>
      </c>
      <c r="H906" s="10">
        <v>2300</v>
      </c>
      <c r="I906" s="6">
        <v>1</v>
      </c>
      <c r="J906" s="6">
        <f>H906*I906</f>
        <v>2300</v>
      </c>
    </row>
    <row r="907" spans="2:10" ht="20.100000000000001" customHeight="1" x14ac:dyDescent="0.25">
      <c r="B907" s="4">
        <v>45079</v>
      </c>
      <c r="C907" s="8" t="str">
        <f>"Ord-06-23-"&amp;TEXT(ROW(C9),"000")</f>
        <v>Ord-06-23-009</v>
      </c>
      <c r="D907" s="6" t="s">
        <v>17</v>
      </c>
      <c r="E907" s="10" t="s">
        <v>27</v>
      </c>
      <c r="F907" s="10" t="s">
        <v>37</v>
      </c>
      <c r="G907" s="10" t="s">
        <v>64</v>
      </c>
      <c r="H907" s="10">
        <v>4500</v>
      </c>
      <c r="I907" s="6">
        <v>2</v>
      </c>
      <c r="J907" s="6">
        <f>H907*I907</f>
        <v>9000</v>
      </c>
    </row>
    <row r="908" spans="2:10" ht="20.100000000000001" customHeight="1" x14ac:dyDescent="0.25">
      <c r="B908" s="4">
        <v>45079</v>
      </c>
      <c r="C908" s="8" t="str">
        <f>"Ord-06-23-"&amp;TEXT(ROW(C10),"000")</f>
        <v>Ord-06-23-010</v>
      </c>
      <c r="D908" s="6" t="s">
        <v>24</v>
      </c>
      <c r="E908" s="10" t="s">
        <v>27</v>
      </c>
      <c r="F908" s="10" t="s">
        <v>41</v>
      </c>
      <c r="G908" s="10" t="s">
        <v>54</v>
      </c>
      <c r="H908" s="10">
        <v>2800</v>
      </c>
      <c r="I908" s="6">
        <v>1</v>
      </c>
      <c r="J908" s="6">
        <f>H908*I908</f>
        <v>2800</v>
      </c>
    </row>
    <row r="909" spans="2:10" ht="20.100000000000001" customHeight="1" x14ac:dyDescent="0.25">
      <c r="B909" s="4">
        <v>45080</v>
      </c>
      <c r="C909" s="8" t="str">
        <f>"Ord-06-23-"&amp;TEXT(ROW(C11),"000")</f>
        <v>Ord-06-23-011</v>
      </c>
      <c r="D909" s="6" t="s">
        <v>16</v>
      </c>
      <c r="E909" s="10" t="s">
        <v>32</v>
      </c>
      <c r="F909" s="10" t="s">
        <v>44</v>
      </c>
      <c r="G909" s="10" t="s">
        <v>62</v>
      </c>
      <c r="H909" s="10">
        <v>1200</v>
      </c>
      <c r="I909" s="6">
        <v>1</v>
      </c>
      <c r="J909" s="6">
        <f>H909*I909</f>
        <v>1200</v>
      </c>
    </row>
    <row r="910" spans="2:10" ht="20.100000000000001" customHeight="1" x14ac:dyDescent="0.25">
      <c r="B910" s="4">
        <v>45080</v>
      </c>
      <c r="C910" s="8" t="str">
        <f>"Ord-06-23-"&amp;TEXT(ROW(C12),"000")</f>
        <v>Ord-06-23-012</v>
      </c>
      <c r="D910" s="6" t="s">
        <v>17</v>
      </c>
      <c r="E910" s="10" t="s">
        <v>29</v>
      </c>
      <c r="F910" s="10" t="s">
        <v>40</v>
      </c>
      <c r="G910" s="10" t="s">
        <v>57</v>
      </c>
      <c r="H910" s="10">
        <v>4000</v>
      </c>
      <c r="I910" s="6">
        <v>4</v>
      </c>
      <c r="J910" s="6">
        <f>H910*I910</f>
        <v>16000</v>
      </c>
    </row>
    <row r="911" spans="2:10" ht="20.100000000000001" customHeight="1" x14ac:dyDescent="0.25">
      <c r="B911" s="4">
        <v>45080</v>
      </c>
      <c r="C911" s="8" t="str">
        <f>"Ord-06-23-"&amp;TEXT(ROW(C13),"000")</f>
        <v>Ord-06-23-013</v>
      </c>
      <c r="D911" s="6" t="s">
        <v>14</v>
      </c>
      <c r="E911" s="10" t="s">
        <v>30</v>
      </c>
      <c r="F911" s="10" t="s">
        <v>90</v>
      </c>
      <c r="G911" s="10" t="s">
        <v>86</v>
      </c>
      <c r="H911" s="10">
        <v>7500</v>
      </c>
      <c r="I911" s="6">
        <v>1</v>
      </c>
      <c r="J911" s="6">
        <f>H911*I911</f>
        <v>7500</v>
      </c>
    </row>
    <row r="912" spans="2:10" ht="20.100000000000001" customHeight="1" x14ac:dyDescent="0.25">
      <c r="B912" s="4">
        <v>45080</v>
      </c>
      <c r="C912" s="8" t="str">
        <f>"Ord-06-23-"&amp;TEXT(ROW(C14),"000")</f>
        <v>Ord-06-23-014</v>
      </c>
      <c r="D912" s="6" t="s">
        <v>8</v>
      </c>
      <c r="E912" s="10" t="s">
        <v>27</v>
      </c>
      <c r="F912" s="10" t="s">
        <v>37</v>
      </c>
      <c r="G912" s="10" t="s">
        <v>53</v>
      </c>
      <c r="H912" s="10">
        <v>5200</v>
      </c>
      <c r="I912" s="6">
        <v>1</v>
      </c>
      <c r="J912" s="6">
        <f>H912*I912</f>
        <v>5200</v>
      </c>
    </row>
    <row r="913" spans="2:10" ht="20.100000000000001" customHeight="1" x14ac:dyDescent="0.25">
      <c r="B913" s="4">
        <v>45080</v>
      </c>
      <c r="C913" s="8" t="str">
        <f>"Ord-06-23-"&amp;TEXT(ROW(C15),"000")</f>
        <v>Ord-06-23-015</v>
      </c>
      <c r="D913" s="6" t="s">
        <v>11</v>
      </c>
      <c r="E913" s="10" t="s">
        <v>27</v>
      </c>
      <c r="F913" s="10" t="s">
        <v>37</v>
      </c>
      <c r="G913" s="10" t="s">
        <v>53</v>
      </c>
      <c r="H913" s="10">
        <v>5200</v>
      </c>
      <c r="I913" s="6">
        <v>5</v>
      </c>
      <c r="J913" s="6">
        <f>H913*I913</f>
        <v>26000</v>
      </c>
    </row>
    <row r="914" spans="2:10" ht="20.100000000000001" customHeight="1" x14ac:dyDescent="0.25">
      <c r="B914" s="4">
        <v>45081</v>
      </c>
      <c r="C914" s="8" t="str">
        <f>"Ord-06-23-"&amp;TEXT(ROW(C16),"000")</f>
        <v>Ord-06-23-016</v>
      </c>
      <c r="D914" s="6" t="s">
        <v>25</v>
      </c>
      <c r="E914" s="10" t="s">
        <v>32</v>
      </c>
      <c r="F914" s="10" t="s">
        <v>44</v>
      </c>
      <c r="G914" s="10" t="s">
        <v>62</v>
      </c>
      <c r="H914" s="10">
        <v>1200</v>
      </c>
      <c r="I914" s="6">
        <v>1</v>
      </c>
      <c r="J914" s="6">
        <f>H914*I914</f>
        <v>1200</v>
      </c>
    </row>
    <row r="915" spans="2:10" ht="20.100000000000001" customHeight="1" x14ac:dyDescent="0.25">
      <c r="B915" s="4">
        <v>45081</v>
      </c>
      <c r="C915" s="8" t="str">
        <f>"Ord-06-23-"&amp;TEXT(ROW(C17),"000")</f>
        <v>Ord-06-23-017</v>
      </c>
      <c r="D915" s="6" t="s">
        <v>9</v>
      </c>
      <c r="E915" s="10" t="s">
        <v>31</v>
      </c>
      <c r="F915" s="10" t="s">
        <v>45</v>
      </c>
      <c r="G915" s="10" t="s">
        <v>67</v>
      </c>
      <c r="H915" s="10">
        <v>8500</v>
      </c>
      <c r="I915" s="6">
        <v>5</v>
      </c>
      <c r="J915" s="6">
        <f>H915*I915</f>
        <v>42500</v>
      </c>
    </row>
    <row r="916" spans="2:10" ht="20.100000000000001" customHeight="1" x14ac:dyDescent="0.25">
      <c r="B916" s="4">
        <v>45081</v>
      </c>
      <c r="C916" s="8" t="str">
        <f>"Ord-06-23-"&amp;TEXT(ROW(C18),"000")</f>
        <v>Ord-06-23-018</v>
      </c>
      <c r="D916" s="6" t="s">
        <v>14</v>
      </c>
      <c r="E916" s="10" t="s">
        <v>29</v>
      </c>
      <c r="F916" s="10" t="s">
        <v>40</v>
      </c>
      <c r="G916" s="10" t="s">
        <v>57</v>
      </c>
      <c r="H916" s="10">
        <v>4000</v>
      </c>
      <c r="I916" s="6">
        <v>4</v>
      </c>
      <c r="J916" s="6">
        <f>H916*I916</f>
        <v>16000</v>
      </c>
    </row>
    <row r="917" spans="2:10" ht="20.100000000000001" customHeight="1" x14ac:dyDescent="0.25">
      <c r="B917" s="4">
        <v>45081</v>
      </c>
      <c r="C917" s="8" t="str">
        <f>"Ord-06-23-"&amp;TEXT(ROW(C19),"000")</f>
        <v>Ord-06-23-019</v>
      </c>
      <c r="D917" s="6" t="s">
        <v>17</v>
      </c>
      <c r="E917" s="10" t="s">
        <v>27</v>
      </c>
      <c r="F917" s="10" t="s">
        <v>50</v>
      </c>
      <c r="G917" s="10" t="s">
        <v>53</v>
      </c>
      <c r="H917" s="10">
        <v>3500</v>
      </c>
      <c r="I917" s="6">
        <v>5</v>
      </c>
      <c r="J917" s="6">
        <f>H917*I917</f>
        <v>17500</v>
      </c>
    </row>
    <row r="918" spans="2:10" ht="20.100000000000001" customHeight="1" x14ac:dyDescent="0.25">
      <c r="B918" s="4">
        <v>45081</v>
      </c>
      <c r="C918" s="8" t="str">
        <f>"Ord-06-23-"&amp;TEXT(ROW(C20),"000")</f>
        <v>Ord-06-23-020</v>
      </c>
      <c r="D918" s="6" t="s">
        <v>14</v>
      </c>
      <c r="E918" s="10" t="s">
        <v>27</v>
      </c>
      <c r="F918" s="10" t="s">
        <v>50</v>
      </c>
      <c r="G918" s="10" t="s">
        <v>54</v>
      </c>
      <c r="H918" s="10">
        <v>3200</v>
      </c>
      <c r="I918" s="6">
        <v>1</v>
      </c>
      <c r="J918" s="6">
        <f>H918*I918</f>
        <v>3200</v>
      </c>
    </row>
    <row r="919" spans="2:10" ht="20.100000000000001" customHeight="1" x14ac:dyDescent="0.25">
      <c r="B919" s="4">
        <v>45082</v>
      </c>
      <c r="C919" s="8" t="str">
        <f>"Ord-06-23-"&amp;TEXT(ROW(C21),"000")</f>
        <v>Ord-06-23-021</v>
      </c>
      <c r="D919" s="6" t="s">
        <v>21</v>
      </c>
      <c r="E919" s="10" t="s">
        <v>33</v>
      </c>
      <c r="F919" s="10" t="s">
        <v>47</v>
      </c>
      <c r="G919" s="10" t="s">
        <v>65</v>
      </c>
      <c r="H919" s="10">
        <v>25</v>
      </c>
      <c r="I919" s="6">
        <v>600</v>
      </c>
      <c r="J919" s="6">
        <f>H919*I919</f>
        <v>15000</v>
      </c>
    </row>
    <row r="920" spans="2:10" ht="20.100000000000001" customHeight="1" x14ac:dyDescent="0.25">
      <c r="B920" s="4">
        <v>45082</v>
      </c>
      <c r="C920" s="8" t="str">
        <f>"Ord-06-23-"&amp;TEXT(ROW(C22),"000")</f>
        <v>Ord-06-23-022</v>
      </c>
      <c r="D920" s="6" t="s">
        <v>16</v>
      </c>
      <c r="E920" s="10" t="s">
        <v>33</v>
      </c>
      <c r="F920" s="10" t="s">
        <v>46</v>
      </c>
      <c r="G920" s="10" t="s">
        <v>65</v>
      </c>
      <c r="H920" s="10">
        <v>15</v>
      </c>
      <c r="I920" s="6">
        <v>600</v>
      </c>
      <c r="J920" s="6">
        <f>H920*I920</f>
        <v>9000</v>
      </c>
    </row>
    <row r="921" spans="2:10" ht="20.100000000000001" customHeight="1" x14ac:dyDescent="0.25">
      <c r="B921" s="4">
        <v>45082</v>
      </c>
      <c r="C921" s="8" t="str">
        <f>"Ord-06-23-"&amp;TEXT(ROW(C23),"000")</f>
        <v>Ord-06-23-023</v>
      </c>
      <c r="D921" s="6" t="s">
        <v>18</v>
      </c>
      <c r="E921" s="10" t="s">
        <v>31</v>
      </c>
      <c r="F921" s="10" t="s">
        <v>48</v>
      </c>
      <c r="G921" s="10" t="s">
        <v>63</v>
      </c>
      <c r="H921" s="10">
        <v>3000</v>
      </c>
      <c r="I921" s="6">
        <v>1</v>
      </c>
      <c r="J921" s="6">
        <f>H921*I921</f>
        <v>3000</v>
      </c>
    </row>
    <row r="922" spans="2:10" ht="20.100000000000001" customHeight="1" x14ac:dyDescent="0.25">
      <c r="B922" s="4">
        <v>45082</v>
      </c>
      <c r="C922" s="8" t="str">
        <f>"Ord-06-23-"&amp;TEXT(ROW(C24),"000")</f>
        <v>Ord-06-23-024</v>
      </c>
      <c r="D922" s="6" t="s">
        <v>21</v>
      </c>
      <c r="E922" s="10" t="s">
        <v>29</v>
      </c>
      <c r="F922" s="10" t="s">
        <v>40</v>
      </c>
      <c r="G922" s="10" t="s">
        <v>57</v>
      </c>
      <c r="H922" s="10">
        <v>4000</v>
      </c>
      <c r="I922" s="6">
        <v>3</v>
      </c>
      <c r="J922" s="6">
        <f>H922*I922</f>
        <v>12000</v>
      </c>
    </row>
    <row r="923" spans="2:10" ht="20.100000000000001" customHeight="1" x14ac:dyDescent="0.25">
      <c r="B923" s="4">
        <v>45082</v>
      </c>
      <c r="C923" s="8" t="str">
        <f>"Ord-06-23-"&amp;TEXT(ROW(C25),"000")</f>
        <v>Ord-06-23-025</v>
      </c>
      <c r="D923" s="6" t="s">
        <v>21</v>
      </c>
      <c r="E923" s="10" t="s">
        <v>27</v>
      </c>
      <c r="F923" s="10" t="s">
        <v>42</v>
      </c>
      <c r="G923" s="10" t="s">
        <v>42</v>
      </c>
      <c r="H923" s="10">
        <v>2500</v>
      </c>
      <c r="I923" s="6">
        <v>5</v>
      </c>
      <c r="J923" s="6">
        <f>H923*I923</f>
        <v>12500</v>
      </c>
    </row>
    <row r="924" spans="2:10" ht="20.100000000000001" customHeight="1" x14ac:dyDescent="0.25">
      <c r="B924" s="4">
        <v>45083</v>
      </c>
      <c r="C924" s="8" t="str">
        <f>"Ord-06-23-"&amp;TEXT(ROW(C26),"000")</f>
        <v>Ord-06-23-026</v>
      </c>
      <c r="D924" s="6" t="s">
        <v>24</v>
      </c>
      <c r="E924" s="10" t="s">
        <v>35</v>
      </c>
      <c r="F924" s="12" t="s">
        <v>90</v>
      </c>
      <c r="G924" s="10" t="s">
        <v>55</v>
      </c>
      <c r="H924" s="10">
        <v>5000</v>
      </c>
      <c r="I924" s="6">
        <v>1</v>
      </c>
      <c r="J924" s="6">
        <f>H924*I924</f>
        <v>5000</v>
      </c>
    </row>
    <row r="925" spans="2:10" ht="20.100000000000001" customHeight="1" x14ac:dyDescent="0.25">
      <c r="B925" s="4">
        <v>45083</v>
      </c>
      <c r="C925" s="8" t="str">
        <f>"Ord-06-23-"&amp;TEXT(ROW(C27),"000")</f>
        <v>Ord-06-23-027</v>
      </c>
      <c r="D925" s="6" t="s">
        <v>11</v>
      </c>
      <c r="E925" s="10" t="s">
        <v>31</v>
      </c>
      <c r="F925" s="10" t="s">
        <v>43</v>
      </c>
      <c r="G925" s="10" t="s">
        <v>66</v>
      </c>
      <c r="H925" s="10">
        <v>4500</v>
      </c>
      <c r="I925" s="6">
        <v>2</v>
      </c>
      <c r="J925" s="6">
        <f>H925*I925</f>
        <v>9000</v>
      </c>
    </row>
    <row r="926" spans="2:10" ht="20.100000000000001" customHeight="1" x14ac:dyDescent="0.25">
      <c r="B926" s="4">
        <v>45083</v>
      </c>
      <c r="C926" s="8" t="str">
        <f>"Ord-06-23-"&amp;TEXT(ROW(C28),"000")</f>
        <v>Ord-06-23-028</v>
      </c>
      <c r="D926" s="6" t="s">
        <v>12</v>
      </c>
      <c r="E926" s="10" t="s">
        <v>31</v>
      </c>
      <c r="F926" s="10" t="s">
        <v>52</v>
      </c>
      <c r="G926" s="10" t="s">
        <v>73</v>
      </c>
      <c r="H926" s="10">
        <v>2500</v>
      </c>
      <c r="I926" s="6">
        <v>4</v>
      </c>
      <c r="J926" s="6">
        <f>H926*I926</f>
        <v>10000</v>
      </c>
    </row>
    <row r="927" spans="2:10" ht="20.100000000000001" customHeight="1" x14ac:dyDescent="0.25">
      <c r="B927" s="4">
        <v>45083</v>
      </c>
      <c r="C927" s="8" t="str">
        <f>"Ord-06-23-"&amp;TEXT(ROW(C29),"000")</f>
        <v>Ord-06-23-029</v>
      </c>
      <c r="D927" s="6" t="s">
        <v>8</v>
      </c>
      <c r="E927" s="10" t="s">
        <v>29</v>
      </c>
      <c r="F927" s="10" t="s">
        <v>39</v>
      </c>
      <c r="G927" s="10" t="s">
        <v>60</v>
      </c>
      <c r="H927" s="10">
        <v>1500</v>
      </c>
      <c r="I927" s="6">
        <v>4</v>
      </c>
      <c r="J927" s="6">
        <f>H927*I927</f>
        <v>6000</v>
      </c>
    </row>
    <row r="928" spans="2:10" ht="20.100000000000001" customHeight="1" x14ac:dyDescent="0.25">
      <c r="B928" s="4">
        <v>45083</v>
      </c>
      <c r="C928" s="8" t="str">
        <f>"Ord-06-23-"&amp;TEXT(ROW(C30),"000")</f>
        <v>Ord-06-23-030</v>
      </c>
      <c r="D928" s="6" t="s">
        <v>12</v>
      </c>
      <c r="E928" s="10" t="s">
        <v>27</v>
      </c>
      <c r="F928" s="10" t="s">
        <v>42</v>
      </c>
      <c r="G928" s="10" t="s">
        <v>42</v>
      </c>
      <c r="H928" s="10">
        <v>2500</v>
      </c>
      <c r="I928" s="6">
        <v>3</v>
      </c>
      <c r="J928" s="6">
        <f>H928*I928</f>
        <v>7500</v>
      </c>
    </row>
    <row r="929" spans="2:10" ht="20.100000000000001" customHeight="1" x14ac:dyDescent="0.25">
      <c r="B929" s="4">
        <v>45084</v>
      </c>
      <c r="C929" s="8" t="str">
        <f>"Ord-06-23-"&amp;TEXT(ROW(C31),"000")</f>
        <v>Ord-06-23-031</v>
      </c>
      <c r="D929" s="6" t="s">
        <v>19</v>
      </c>
      <c r="E929" s="10" t="s">
        <v>28</v>
      </c>
      <c r="F929" s="10" t="s">
        <v>28</v>
      </c>
      <c r="G929" s="10" t="s">
        <v>58</v>
      </c>
      <c r="H929" s="13">
        <v>1000</v>
      </c>
      <c r="I929" s="7">
        <v>1</v>
      </c>
      <c r="J929" s="6">
        <f>H929*I929</f>
        <v>1000</v>
      </c>
    </row>
    <row r="930" spans="2:10" ht="20.100000000000001" customHeight="1" x14ac:dyDescent="0.25">
      <c r="B930" s="4">
        <v>45084</v>
      </c>
      <c r="C930" s="8" t="str">
        <f>"Ord-06-23-"&amp;TEXT(ROW(C32),"000")</f>
        <v>Ord-06-23-032</v>
      </c>
      <c r="D930" s="6" t="s">
        <v>26</v>
      </c>
      <c r="E930" s="10" t="s">
        <v>29</v>
      </c>
      <c r="F930" s="10" t="s">
        <v>40</v>
      </c>
      <c r="G930" s="10" t="s">
        <v>84</v>
      </c>
      <c r="H930" s="13">
        <v>7500</v>
      </c>
      <c r="I930" s="7">
        <v>3</v>
      </c>
      <c r="J930" s="6">
        <f>H930*I930</f>
        <v>22500</v>
      </c>
    </row>
    <row r="931" spans="2:10" ht="20.100000000000001" customHeight="1" x14ac:dyDescent="0.25">
      <c r="B931" s="4">
        <v>45084</v>
      </c>
      <c r="C931" s="8" t="str">
        <f>"Ord-06-23-"&amp;TEXT(ROW(C33),"000")</f>
        <v>Ord-06-23-033</v>
      </c>
      <c r="D931" s="6" t="s">
        <v>21</v>
      </c>
      <c r="E931" s="10" t="s">
        <v>29</v>
      </c>
      <c r="F931" s="10" t="s">
        <v>39</v>
      </c>
      <c r="G931" s="10" t="s">
        <v>60</v>
      </c>
      <c r="H931" s="10">
        <v>1500</v>
      </c>
      <c r="I931" s="6">
        <v>4</v>
      </c>
      <c r="J931" s="6">
        <f>H931*I931</f>
        <v>6000</v>
      </c>
    </row>
    <row r="932" spans="2:10" ht="20.100000000000001" customHeight="1" x14ac:dyDescent="0.25">
      <c r="B932" s="4">
        <v>45084</v>
      </c>
      <c r="C932" s="8" t="str">
        <f>"Ord-06-23-"&amp;TEXT(ROW(C34),"000")</f>
        <v>Ord-06-23-034</v>
      </c>
      <c r="D932" s="6" t="s">
        <v>17</v>
      </c>
      <c r="E932" s="10" t="s">
        <v>29</v>
      </c>
      <c r="F932" s="10" t="s">
        <v>39</v>
      </c>
      <c r="G932" s="10" t="s">
        <v>56</v>
      </c>
      <c r="H932" s="10">
        <v>2500</v>
      </c>
      <c r="I932" s="6">
        <v>3</v>
      </c>
      <c r="J932" s="6">
        <f>H932*I932</f>
        <v>7500</v>
      </c>
    </row>
    <row r="933" spans="2:10" ht="20.100000000000001" customHeight="1" x14ac:dyDescent="0.25">
      <c r="B933" s="4">
        <v>45084</v>
      </c>
      <c r="C933" s="8" t="str">
        <f>"Ord-06-23-"&amp;TEXT(ROW(C35),"000")</f>
        <v>Ord-06-23-035</v>
      </c>
      <c r="D933" s="6" t="s">
        <v>22</v>
      </c>
      <c r="E933" s="10" t="s">
        <v>30</v>
      </c>
      <c r="F933" s="10" t="s">
        <v>90</v>
      </c>
      <c r="G933" s="10" t="s">
        <v>59</v>
      </c>
      <c r="H933" s="10">
        <v>4800</v>
      </c>
      <c r="I933" s="6">
        <v>1</v>
      </c>
      <c r="J933" s="6">
        <f>H933*I933</f>
        <v>4800</v>
      </c>
    </row>
    <row r="934" spans="2:10" ht="20.100000000000001" customHeight="1" x14ac:dyDescent="0.25">
      <c r="B934" s="4">
        <v>45084</v>
      </c>
      <c r="C934" s="8" t="str">
        <f>"Ord-06-23-"&amp;TEXT(ROW(C36),"000")</f>
        <v>Ord-06-23-036</v>
      </c>
      <c r="D934" s="6" t="s">
        <v>19</v>
      </c>
      <c r="E934" s="10" t="s">
        <v>27</v>
      </c>
      <c r="F934" s="10" t="s">
        <v>50</v>
      </c>
      <c r="G934" s="10" t="s">
        <v>53</v>
      </c>
      <c r="H934" s="10">
        <v>3500</v>
      </c>
      <c r="I934" s="6">
        <v>3</v>
      </c>
      <c r="J934" s="6">
        <f>H934*I934</f>
        <v>10500</v>
      </c>
    </row>
    <row r="935" spans="2:10" ht="20.100000000000001" customHeight="1" x14ac:dyDescent="0.25">
      <c r="B935" s="4">
        <v>45084</v>
      </c>
      <c r="C935" s="8" t="str">
        <f>"Ord-06-23-"&amp;TEXT(ROW(C37),"000")</f>
        <v>Ord-06-23-037</v>
      </c>
      <c r="D935" s="6" t="s">
        <v>8</v>
      </c>
      <c r="E935" s="10" t="s">
        <v>27</v>
      </c>
      <c r="F935" s="10" t="s">
        <v>41</v>
      </c>
      <c r="G935" s="10" t="s">
        <v>53</v>
      </c>
      <c r="H935" s="13">
        <v>3000</v>
      </c>
      <c r="I935" s="7">
        <v>5</v>
      </c>
      <c r="J935" s="6">
        <f>H935*I935</f>
        <v>15000</v>
      </c>
    </row>
    <row r="936" spans="2:10" ht="20.100000000000001" customHeight="1" x14ac:dyDescent="0.25">
      <c r="B936" s="4">
        <v>45084</v>
      </c>
      <c r="C936" s="8" t="str">
        <f>"Ord-06-23-"&amp;TEXT(ROW(C38),"000")</f>
        <v>Ord-06-23-038</v>
      </c>
      <c r="D936" s="6" t="s">
        <v>15</v>
      </c>
      <c r="E936" s="10" t="s">
        <v>27</v>
      </c>
      <c r="F936" s="10" t="s">
        <v>41</v>
      </c>
      <c r="G936" s="10" t="s">
        <v>53</v>
      </c>
      <c r="H936" s="13">
        <v>3000</v>
      </c>
      <c r="I936" s="7">
        <v>3</v>
      </c>
      <c r="J936" s="6">
        <f>H936*I936</f>
        <v>9000</v>
      </c>
    </row>
    <row r="937" spans="2:10" ht="20.100000000000001" customHeight="1" x14ac:dyDescent="0.25">
      <c r="B937" s="4">
        <v>45084</v>
      </c>
      <c r="C937" s="8" t="str">
        <f>"Ord-06-23-"&amp;TEXT(ROW(C39),"000")</f>
        <v>Ord-06-23-039</v>
      </c>
      <c r="D937" s="6" t="s">
        <v>24</v>
      </c>
      <c r="E937" s="10" t="s">
        <v>34</v>
      </c>
      <c r="F937" s="10" t="s">
        <v>49</v>
      </c>
      <c r="G937" s="10" t="s">
        <v>75</v>
      </c>
      <c r="H937" s="10">
        <v>4300</v>
      </c>
      <c r="I937" s="6">
        <v>2</v>
      </c>
      <c r="J937" s="6">
        <f>H937*I937</f>
        <v>8600</v>
      </c>
    </row>
    <row r="938" spans="2:10" ht="20.100000000000001" customHeight="1" x14ac:dyDescent="0.25">
      <c r="B938" s="4">
        <v>45084</v>
      </c>
      <c r="C938" s="8" t="str">
        <f>"Ord-06-23-"&amp;TEXT(ROW(C40),"000")</f>
        <v>Ord-06-23-040</v>
      </c>
      <c r="D938" s="6" t="s">
        <v>24</v>
      </c>
      <c r="E938" s="10" t="s">
        <v>34</v>
      </c>
      <c r="F938" s="10" t="s">
        <v>49</v>
      </c>
      <c r="G938" s="10" t="s">
        <v>68</v>
      </c>
      <c r="H938" s="13">
        <v>4000</v>
      </c>
      <c r="I938" s="7">
        <v>3</v>
      </c>
      <c r="J938" s="6">
        <f>H938*I938</f>
        <v>12000</v>
      </c>
    </row>
    <row r="939" spans="2:10" ht="20.100000000000001" customHeight="1" x14ac:dyDescent="0.25">
      <c r="B939" s="4">
        <v>45085</v>
      </c>
      <c r="C939" s="8" t="str">
        <f>"Ord-06-23-"&amp;TEXT(ROW(C41),"000")</f>
        <v>Ord-06-23-041</v>
      </c>
      <c r="D939" s="6" t="s">
        <v>15</v>
      </c>
      <c r="E939" s="10" t="s">
        <v>32</v>
      </c>
      <c r="F939" s="10" t="s">
        <v>51</v>
      </c>
      <c r="G939" s="10" t="s">
        <v>72</v>
      </c>
      <c r="H939" s="10">
        <v>2200</v>
      </c>
      <c r="I939" s="6">
        <v>4</v>
      </c>
      <c r="J939" s="6">
        <f>H939*I939</f>
        <v>8800</v>
      </c>
    </row>
    <row r="940" spans="2:10" ht="20.100000000000001" customHeight="1" x14ac:dyDescent="0.25">
      <c r="B940" s="4">
        <v>45085</v>
      </c>
      <c r="C940" s="8" t="str">
        <f>"Ord-06-23-"&amp;TEXT(ROW(C42),"000")</f>
        <v>Ord-06-23-042</v>
      </c>
      <c r="D940" s="6" t="s">
        <v>15</v>
      </c>
      <c r="E940" s="10" t="s">
        <v>33</v>
      </c>
      <c r="F940" s="10" t="s">
        <v>46</v>
      </c>
      <c r="G940" s="10" t="s">
        <v>65</v>
      </c>
      <c r="H940" s="10">
        <v>15</v>
      </c>
      <c r="I940" s="6">
        <v>250</v>
      </c>
      <c r="J940" s="6">
        <f>H940*I940</f>
        <v>3750</v>
      </c>
    </row>
    <row r="941" spans="2:10" ht="20.100000000000001" customHeight="1" x14ac:dyDescent="0.25">
      <c r="B941" s="4">
        <v>45085</v>
      </c>
      <c r="C941" s="8" t="str">
        <f>"Ord-06-23-"&amp;TEXT(ROW(C43),"000")</f>
        <v>Ord-06-23-043</v>
      </c>
      <c r="D941" s="6" t="s">
        <v>23</v>
      </c>
      <c r="E941" s="10" t="s">
        <v>31</v>
      </c>
      <c r="F941" s="10" t="s">
        <v>43</v>
      </c>
      <c r="G941" s="10" t="s">
        <v>76</v>
      </c>
      <c r="H941" s="10">
        <v>4800</v>
      </c>
      <c r="I941" s="6">
        <v>2</v>
      </c>
      <c r="J941" s="6">
        <f>H941*I941</f>
        <v>9600</v>
      </c>
    </row>
    <row r="942" spans="2:10" ht="20.100000000000001" customHeight="1" x14ac:dyDescent="0.25">
      <c r="B942" s="4">
        <v>45085</v>
      </c>
      <c r="C942" s="8" t="str">
        <f>"Ord-06-23-"&amp;TEXT(ROW(C44),"000")</f>
        <v>Ord-06-23-044</v>
      </c>
      <c r="D942" s="6" t="s">
        <v>20</v>
      </c>
      <c r="E942" s="10" t="s">
        <v>27</v>
      </c>
      <c r="F942" s="10" t="s">
        <v>50</v>
      </c>
      <c r="G942" s="10" t="s">
        <v>53</v>
      </c>
      <c r="H942" s="10">
        <v>3500</v>
      </c>
      <c r="I942" s="6">
        <v>4</v>
      </c>
      <c r="J942" s="6">
        <f>H942*I942</f>
        <v>14000</v>
      </c>
    </row>
    <row r="943" spans="2:10" ht="20.100000000000001" customHeight="1" x14ac:dyDescent="0.25">
      <c r="B943" s="4">
        <v>45085</v>
      </c>
      <c r="C943" s="8" t="str">
        <f>"Ord-06-23-"&amp;TEXT(ROW(C45),"000")</f>
        <v>Ord-06-23-045</v>
      </c>
      <c r="D943" s="6" t="s">
        <v>19</v>
      </c>
      <c r="E943" s="10" t="s">
        <v>27</v>
      </c>
      <c r="F943" s="10" t="s">
        <v>41</v>
      </c>
      <c r="G943" s="10" t="s">
        <v>64</v>
      </c>
      <c r="H943" s="10">
        <v>2500</v>
      </c>
      <c r="I943" s="6">
        <v>5</v>
      </c>
      <c r="J943" s="6">
        <f>H943*I943</f>
        <v>12500</v>
      </c>
    </row>
    <row r="944" spans="2:10" ht="20.100000000000001" customHeight="1" x14ac:dyDescent="0.25">
      <c r="B944" s="4">
        <v>45086</v>
      </c>
      <c r="C944" s="8" t="str">
        <f>"Ord-06-23-"&amp;TEXT(ROW(C46),"000")</f>
        <v>Ord-06-23-046</v>
      </c>
      <c r="D944" s="6" t="s">
        <v>23</v>
      </c>
      <c r="E944" s="10" t="s">
        <v>35</v>
      </c>
      <c r="F944" s="12" t="s">
        <v>90</v>
      </c>
      <c r="G944" s="10" t="s">
        <v>79</v>
      </c>
      <c r="H944" s="10">
        <v>4800</v>
      </c>
      <c r="I944" s="6">
        <v>1</v>
      </c>
      <c r="J944" s="6">
        <f>H944*I944</f>
        <v>4800</v>
      </c>
    </row>
    <row r="945" spans="2:10" ht="20.100000000000001" customHeight="1" x14ac:dyDescent="0.25">
      <c r="B945" s="4">
        <v>45086</v>
      </c>
      <c r="C945" s="8" t="str">
        <f>"Ord-06-23-"&amp;TEXT(ROW(C47),"000")</f>
        <v>Ord-06-23-047</v>
      </c>
      <c r="D945" s="6" t="s">
        <v>16</v>
      </c>
      <c r="E945" s="10" t="s">
        <v>36</v>
      </c>
      <c r="F945" s="10" t="s">
        <v>36</v>
      </c>
      <c r="G945" s="10" t="s">
        <v>85</v>
      </c>
      <c r="H945" s="10">
        <v>2200</v>
      </c>
      <c r="I945" s="6">
        <v>3</v>
      </c>
      <c r="J945" s="6">
        <f>H945*I945</f>
        <v>6600</v>
      </c>
    </row>
    <row r="946" spans="2:10" ht="20.100000000000001" customHeight="1" x14ac:dyDescent="0.25">
      <c r="B946" s="4">
        <v>45086</v>
      </c>
      <c r="C946" s="8" t="str">
        <f>"Ord-06-23-"&amp;TEXT(ROW(C48),"000")</f>
        <v>Ord-06-23-048</v>
      </c>
      <c r="D946" s="6" t="s">
        <v>23</v>
      </c>
      <c r="E946" s="10" t="s">
        <v>36</v>
      </c>
      <c r="F946" s="10" t="s">
        <v>36</v>
      </c>
      <c r="G946" s="10" t="s">
        <v>41</v>
      </c>
      <c r="H946" s="10">
        <v>2000</v>
      </c>
      <c r="I946" s="6">
        <v>1</v>
      </c>
      <c r="J946" s="6">
        <f>H946*I946</f>
        <v>2000</v>
      </c>
    </row>
    <row r="947" spans="2:10" ht="20.100000000000001" customHeight="1" x14ac:dyDescent="0.25">
      <c r="B947" s="4">
        <v>45086</v>
      </c>
      <c r="C947" s="8" t="str">
        <f>"Ord-06-23-"&amp;TEXT(ROW(C49),"000")</f>
        <v>Ord-06-23-049</v>
      </c>
      <c r="D947" s="6" t="s">
        <v>16</v>
      </c>
      <c r="E947" s="10" t="s">
        <v>27</v>
      </c>
      <c r="F947" s="10" t="s">
        <v>38</v>
      </c>
      <c r="G947" s="10" t="s">
        <v>54</v>
      </c>
      <c r="H947" s="10">
        <v>5200</v>
      </c>
      <c r="I947" s="6">
        <v>3</v>
      </c>
      <c r="J947" s="6">
        <f>H947*I947</f>
        <v>15600</v>
      </c>
    </row>
    <row r="948" spans="2:10" ht="20.100000000000001" customHeight="1" x14ac:dyDescent="0.25">
      <c r="B948" s="4">
        <v>45086</v>
      </c>
      <c r="C948" s="8" t="str">
        <f>"Ord-06-23-"&amp;TEXT(ROW(C50),"000")</f>
        <v>Ord-06-23-050</v>
      </c>
      <c r="D948" s="6" t="s">
        <v>17</v>
      </c>
      <c r="E948" s="10" t="s">
        <v>27</v>
      </c>
      <c r="F948" s="10" t="s">
        <v>41</v>
      </c>
      <c r="G948" s="10" t="s">
        <v>53</v>
      </c>
      <c r="H948" s="10">
        <v>3000</v>
      </c>
      <c r="I948" s="6">
        <v>3</v>
      </c>
      <c r="J948" s="6">
        <f>H948*I948</f>
        <v>9000</v>
      </c>
    </row>
    <row r="949" spans="2:10" ht="20.100000000000001" customHeight="1" x14ac:dyDescent="0.25">
      <c r="B949" s="4">
        <v>45087</v>
      </c>
      <c r="C949" s="8" t="str">
        <f>"Ord-06-23-"&amp;TEXT(ROW(C51),"000")</f>
        <v>Ord-06-23-051</v>
      </c>
      <c r="D949" s="6" t="s">
        <v>13</v>
      </c>
      <c r="E949" s="10" t="s">
        <v>35</v>
      </c>
      <c r="F949" s="12" t="s">
        <v>90</v>
      </c>
      <c r="G949" s="10" t="s">
        <v>77</v>
      </c>
      <c r="H949" s="10">
        <v>8500</v>
      </c>
      <c r="I949" s="6">
        <v>1</v>
      </c>
      <c r="J949" s="6">
        <f>H949*I949</f>
        <v>8500</v>
      </c>
    </row>
    <row r="950" spans="2:10" ht="20.100000000000001" customHeight="1" x14ac:dyDescent="0.25">
      <c r="B950" s="4">
        <v>45087</v>
      </c>
      <c r="C950" s="8" t="str">
        <f>"Ord-06-23-"&amp;TEXT(ROW(C52),"000")</f>
        <v>Ord-06-23-052</v>
      </c>
      <c r="D950" s="6" t="s">
        <v>24</v>
      </c>
      <c r="E950" s="10" t="s">
        <v>33</v>
      </c>
      <c r="F950" s="10" t="s">
        <v>46</v>
      </c>
      <c r="G950" s="10" t="s">
        <v>65</v>
      </c>
      <c r="H950" s="10">
        <v>15</v>
      </c>
      <c r="I950" s="6">
        <v>500</v>
      </c>
      <c r="J950" s="6">
        <f>H950*I950</f>
        <v>7500</v>
      </c>
    </row>
    <row r="951" spans="2:10" ht="20.100000000000001" customHeight="1" x14ac:dyDescent="0.25">
      <c r="B951" s="4">
        <v>45087</v>
      </c>
      <c r="C951" s="8" t="str">
        <f>"Ord-06-23-"&amp;TEXT(ROW(C53),"000")</f>
        <v>Ord-06-23-053</v>
      </c>
      <c r="D951" s="6" t="s">
        <v>18</v>
      </c>
      <c r="E951" s="10" t="s">
        <v>30</v>
      </c>
      <c r="F951" s="10" t="s">
        <v>90</v>
      </c>
      <c r="G951" s="10" t="s">
        <v>59</v>
      </c>
      <c r="H951" s="10">
        <v>4800</v>
      </c>
      <c r="I951" s="6">
        <v>2</v>
      </c>
      <c r="J951" s="6">
        <f>H951*I951</f>
        <v>9600</v>
      </c>
    </row>
    <row r="952" spans="2:10" ht="20.100000000000001" customHeight="1" x14ac:dyDescent="0.25">
      <c r="B952" s="4">
        <v>45087</v>
      </c>
      <c r="C952" s="8" t="str">
        <f>"Ord-06-23-"&amp;TEXT(ROW(C54),"000")</f>
        <v>Ord-06-23-054</v>
      </c>
      <c r="D952" s="6" t="s">
        <v>13</v>
      </c>
      <c r="E952" s="10" t="s">
        <v>27</v>
      </c>
      <c r="F952" s="10" t="s">
        <v>50</v>
      </c>
      <c r="G952" s="10" t="s">
        <v>64</v>
      </c>
      <c r="H952" s="10">
        <v>3000</v>
      </c>
      <c r="I952" s="6">
        <v>5</v>
      </c>
      <c r="J952" s="6">
        <f>H952*I952</f>
        <v>15000</v>
      </c>
    </row>
    <row r="953" spans="2:10" ht="20.100000000000001" customHeight="1" x14ac:dyDescent="0.25">
      <c r="B953" s="4">
        <v>45087</v>
      </c>
      <c r="C953" s="8" t="str">
        <f>"Ord-06-23-"&amp;TEXT(ROW(C55),"000")</f>
        <v>Ord-06-23-055</v>
      </c>
      <c r="D953" s="6" t="s">
        <v>8</v>
      </c>
      <c r="E953" s="10" t="s">
        <v>27</v>
      </c>
      <c r="F953" s="10" t="s">
        <v>50</v>
      </c>
      <c r="G953" s="10" t="s">
        <v>64</v>
      </c>
      <c r="H953" s="10">
        <v>3000</v>
      </c>
      <c r="I953" s="6">
        <v>5</v>
      </c>
      <c r="J953" s="6">
        <f>H953*I953</f>
        <v>15000</v>
      </c>
    </row>
    <row r="954" spans="2:10" ht="20.100000000000001" customHeight="1" x14ac:dyDescent="0.25">
      <c r="B954" s="4">
        <v>45088</v>
      </c>
      <c r="C954" s="8" t="str">
        <f>"Ord-06-23-"&amp;TEXT(ROW(C56),"000")</f>
        <v>Ord-06-23-056</v>
      </c>
      <c r="D954" s="6" t="s">
        <v>16</v>
      </c>
      <c r="E954" s="10" t="s">
        <v>31</v>
      </c>
      <c r="F954" s="10" t="s">
        <v>43</v>
      </c>
      <c r="G954" s="10" t="s">
        <v>66</v>
      </c>
      <c r="H954" s="10">
        <v>4500</v>
      </c>
      <c r="I954" s="6">
        <v>5</v>
      </c>
      <c r="J954" s="6">
        <f>H954*I954</f>
        <v>22500</v>
      </c>
    </row>
    <row r="955" spans="2:10" ht="20.100000000000001" customHeight="1" x14ac:dyDescent="0.25">
      <c r="B955" s="4">
        <v>45088</v>
      </c>
      <c r="C955" s="8" t="str">
        <f>"Ord-06-23-"&amp;TEXT(ROW(C57),"000")</f>
        <v>Ord-06-23-057</v>
      </c>
      <c r="D955" s="6" t="s">
        <v>9</v>
      </c>
      <c r="E955" s="10" t="s">
        <v>31</v>
      </c>
      <c r="F955" s="10" t="s">
        <v>45</v>
      </c>
      <c r="G955" s="10" t="s">
        <v>66</v>
      </c>
      <c r="H955" s="10">
        <v>2300</v>
      </c>
      <c r="I955" s="6">
        <v>4</v>
      </c>
      <c r="J955" s="6">
        <f>H955*I955</f>
        <v>9200</v>
      </c>
    </row>
    <row r="956" spans="2:10" ht="20.100000000000001" customHeight="1" x14ac:dyDescent="0.25">
      <c r="B956" s="4">
        <v>45088</v>
      </c>
      <c r="C956" s="8" t="str">
        <f>"Ord-06-23-"&amp;TEXT(ROW(C58),"000")</f>
        <v>Ord-06-23-058</v>
      </c>
      <c r="D956" s="6" t="s">
        <v>24</v>
      </c>
      <c r="E956" s="10" t="s">
        <v>31</v>
      </c>
      <c r="F956" s="10" t="s">
        <v>45</v>
      </c>
      <c r="G956" s="10" t="s">
        <v>67</v>
      </c>
      <c r="H956" s="10">
        <v>8500</v>
      </c>
      <c r="I956" s="6">
        <v>5</v>
      </c>
      <c r="J956" s="6">
        <f>H956*I956</f>
        <v>42500</v>
      </c>
    </row>
    <row r="957" spans="2:10" ht="20.100000000000001" customHeight="1" x14ac:dyDescent="0.25">
      <c r="B957" s="4">
        <v>45088</v>
      </c>
      <c r="C957" s="8" t="str">
        <f>"Ord-06-23-"&amp;TEXT(ROW(C59),"000")</f>
        <v>Ord-06-23-059</v>
      </c>
      <c r="D957" s="6" t="s">
        <v>26</v>
      </c>
      <c r="E957" s="10" t="s">
        <v>31</v>
      </c>
      <c r="F957" s="10" t="s">
        <v>52</v>
      </c>
      <c r="G957" s="10" t="s">
        <v>76</v>
      </c>
      <c r="H957" s="10">
        <v>2800</v>
      </c>
      <c r="I957" s="6">
        <v>3</v>
      </c>
      <c r="J957" s="6">
        <f>H957*I957</f>
        <v>8400</v>
      </c>
    </row>
    <row r="958" spans="2:10" ht="20.100000000000001" customHeight="1" x14ac:dyDescent="0.25">
      <c r="B958" s="4">
        <v>45088</v>
      </c>
      <c r="C958" s="8" t="str">
        <f>"Ord-06-23-"&amp;TEXT(ROW(C60),"000")</f>
        <v>Ord-06-23-060</v>
      </c>
      <c r="D958" s="6" t="s">
        <v>7</v>
      </c>
      <c r="E958" s="10" t="s">
        <v>27</v>
      </c>
      <c r="F958" s="10" t="s">
        <v>42</v>
      </c>
      <c r="G958" s="10" t="s">
        <v>42</v>
      </c>
      <c r="H958" s="10">
        <v>2500</v>
      </c>
      <c r="I958" s="6">
        <v>3</v>
      </c>
      <c r="J958" s="6">
        <f>H958*I958</f>
        <v>7500</v>
      </c>
    </row>
    <row r="959" spans="2:10" ht="20.100000000000001" customHeight="1" x14ac:dyDescent="0.25">
      <c r="B959" s="4">
        <v>45089</v>
      </c>
      <c r="C959" s="8" t="str">
        <f>"Ord-06-23-"&amp;TEXT(ROW(C61),"000")</f>
        <v>Ord-06-23-061</v>
      </c>
      <c r="D959" s="6" t="s">
        <v>15</v>
      </c>
      <c r="E959" s="10" t="s">
        <v>35</v>
      </c>
      <c r="F959" s="12" t="s">
        <v>90</v>
      </c>
      <c r="G959" s="10" t="s">
        <v>79</v>
      </c>
      <c r="H959" s="10">
        <v>4800</v>
      </c>
      <c r="I959" s="6">
        <v>5</v>
      </c>
      <c r="J959" s="6">
        <f>H959*I959</f>
        <v>24000</v>
      </c>
    </row>
    <row r="960" spans="2:10" ht="20.100000000000001" customHeight="1" x14ac:dyDescent="0.25">
      <c r="B960" s="4">
        <v>45089</v>
      </c>
      <c r="C960" s="8" t="str">
        <f>"Ord-06-23-"&amp;TEXT(ROW(C62),"000")</f>
        <v>Ord-06-23-062</v>
      </c>
      <c r="D960" s="6" t="s">
        <v>23</v>
      </c>
      <c r="E960" s="10" t="s">
        <v>31</v>
      </c>
      <c r="F960" s="10" t="s">
        <v>48</v>
      </c>
      <c r="G960" s="10" t="s">
        <v>82</v>
      </c>
      <c r="H960" s="10">
        <v>8500</v>
      </c>
      <c r="I960" s="6">
        <v>4</v>
      </c>
      <c r="J960" s="6">
        <f>H960*I960</f>
        <v>34000</v>
      </c>
    </row>
    <row r="961" spans="2:10" ht="20.100000000000001" customHeight="1" x14ac:dyDescent="0.25">
      <c r="B961" s="4">
        <v>45089</v>
      </c>
      <c r="C961" s="8" t="str">
        <f>"Ord-06-23-"&amp;TEXT(ROW(C63),"000")</f>
        <v>Ord-06-23-063</v>
      </c>
      <c r="D961" s="6" t="s">
        <v>26</v>
      </c>
      <c r="E961" s="10" t="s">
        <v>29</v>
      </c>
      <c r="F961" s="10" t="s">
        <v>40</v>
      </c>
      <c r="G961" s="10" t="s">
        <v>84</v>
      </c>
      <c r="H961" s="10">
        <v>7500</v>
      </c>
      <c r="I961" s="6">
        <v>2</v>
      </c>
      <c r="J961" s="6">
        <f>H961*I961</f>
        <v>15000</v>
      </c>
    </row>
    <row r="962" spans="2:10" ht="20.100000000000001" customHeight="1" x14ac:dyDescent="0.25">
      <c r="B962" s="4">
        <v>45089</v>
      </c>
      <c r="C962" s="8" t="str">
        <f>"Ord-06-23-"&amp;TEXT(ROW(C64),"000")</f>
        <v>Ord-06-23-064</v>
      </c>
      <c r="D962" s="6" t="s">
        <v>24</v>
      </c>
      <c r="E962" s="10" t="s">
        <v>30</v>
      </c>
      <c r="F962" s="10" t="s">
        <v>90</v>
      </c>
      <c r="G962" s="10" t="s">
        <v>59</v>
      </c>
      <c r="H962" s="10">
        <v>4800</v>
      </c>
      <c r="I962" s="6">
        <v>4</v>
      </c>
      <c r="J962" s="6">
        <f>H962*I962</f>
        <v>19200</v>
      </c>
    </row>
    <row r="963" spans="2:10" ht="20.100000000000001" customHeight="1" x14ac:dyDescent="0.25">
      <c r="B963" s="4">
        <v>45089</v>
      </c>
      <c r="C963" s="8" t="str">
        <f>"Ord-06-23-"&amp;TEXT(ROW(C65),"000")</f>
        <v>Ord-06-23-065</v>
      </c>
      <c r="D963" s="6" t="s">
        <v>17</v>
      </c>
      <c r="E963" s="10" t="s">
        <v>27</v>
      </c>
      <c r="F963" s="10" t="s">
        <v>41</v>
      </c>
      <c r="G963" s="10" t="s">
        <v>64</v>
      </c>
      <c r="H963" s="10">
        <v>2500</v>
      </c>
      <c r="I963" s="6">
        <v>1</v>
      </c>
      <c r="J963" s="6">
        <f>H963*I963</f>
        <v>2500</v>
      </c>
    </row>
    <row r="964" spans="2:10" ht="20.100000000000001" customHeight="1" x14ac:dyDescent="0.25">
      <c r="B964" s="4">
        <v>45090</v>
      </c>
      <c r="C964" s="8" t="str">
        <f>"Ord-06-23-"&amp;TEXT(ROW(C66),"000")</f>
        <v>Ord-06-23-066</v>
      </c>
      <c r="D964" s="6" t="s">
        <v>7</v>
      </c>
      <c r="E964" s="10" t="s">
        <v>35</v>
      </c>
      <c r="F964" s="12" t="s">
        <v>90</v>
      </c>
      <c r="G964" s="10" t="s">
        <v>71</v>
      </c>
      <c r="H964" s="10">
        <v>5500</v>
      </c>
      <c r="I964" s="6">
        <v>5</v>
      </c>
      <c r="J964" s="6">
        <f>H964*I964</f>
        <v>27500</v>
      </c>
    </row>
    <row r="965" spans="2:10" ht="20.100000000000001" customHeight="1" x14ac:dyDescent="0.25">
      <c r="B965" s="4">
        <v>45090</v>
      </c>
      <c r="C965" s="8" t="str">
        <f>"Ord-06-23-"&amp;TEXT(ROW(C67),"000")</f>
        <v>Ord-06-23-067</v>
      </c>
      <c r="D965" s="6" t="s">
        <v>7</v>
      </c>
      <c r="E965" s="10" t="s">
        <v>32</v>
      </c>
      <c r="F965" s="10" t="s">
        <v>51</v>
      </c>
      <c r="G965" s="10" t="s">
        <v>70</v>
      </c>
      <c r="H965" s="10">
        <v>2600</v>
      </c>
      <c r="I965" s="6">
        <v>2</v>
      </c>
      <c r="J965" s="6">
        <f>H965*I965</f>
        <v>5200</v>
      </c>
    </row>
    <row r="966" spans="2:10" ht="20.100000000000001" customHeight="1" x14ac:dyDescent="0.25">
      <c r="B966" s="4">
        <v>45090</v>
      </c>
      <c r="C966" s="8" t="str">
        <f>"Ord-06-23-"&amp;TEXT(ROW(C68),"000")</f>
        <v>Ord-06-23-068</v>
      </c>
      <c r="D966" s="6" t="s">
        <v>16</v>
      </c>
      <c r="E966" s="10" t="s">
        <v>31</v>
      </c>
      <c r="F966" s="10" t="s">
        <v>45</v>
      </c>
      <c r="G966" s="10" t="s">
        <v>63</v>
      </c>
      <c r="H966" s="10">
        <v>1800</v>
      </c>
      <c r="I966" s="6">
        <v>1</v>
      </c>
      <c r="J966" s="6">
        <f>H966*I966</f>
        <v>1800</v>
      </c>
    </row>
    <row r="967" spans="2:10" ht="20.100000000000001" customHeight="1" x14ac:dyDescent="0.25">
      <c r="B967" s="4">
        <v>45090</v>
      </c>
      <c r="C967" s="8" t="str">
        <f>"Ord-06-23-"&amp;TEXT(ROW(C69),"000")</f>
        <v>Ord-06-23-069</v>
      </c>
      <c r="D967" s="6" t="s">
        <v>15</v>
      </c>
      <c r="E967" s="10" t="s">
        <v>27</v>
      </c>
      <c r="F967" s="10" t="s">
        <v>37</v>
      </c>
      <c r="G967" s="10" t="s">
        <v>53</v>
      </c>
      <c r="H967" s="10">
        <v>5200</v>
      </c>
      <c r="I967" s="6">
        <v>4</v>
      </c>
      <c r="J967" s="6">
        <f>H967*I967</f>
        <v>20800</v>
      </c>
    </row>
    <row r="968" spans="2:10" ht="20.100000000000001" customHeight="1" x14ac:dyDescent="0.25">
      <c r="B968" s="4">
        <v>45090</v>
      </c>
      <c r="C968" s="8" t="str">
        <f>"Ord-06-23-"&amp;TEXT(ROW(C70),"000")</f>
        <v>Ord-06-23-070</v>
      </c>
      <c r="D968" s="6" t="s">
        <v>18</v>
      </c>
      <c r="E968" s="10" t="s">
        <v>34</v>
      </c>
      <c r="F968" s="10" t="s">
        <v>49</v>
      </c>
      <c r="G968" s="10" t="s">
        <v>75</v>
      </c>
      <c r="H968" s="10">
        <v>4300</v>
      </c>
      <c r="I968" s="6">
        <v>2</v>
      </c>
      <c r="J968" s="6">
        <f>H968*I968</f>
        <v>8600</v>
      </c>
    </row>
    <row r="969" spans="2:10" ht="20.100000000000001" customHeight="1" x14ac:dyDescent="0.25">
      <c r="B969" s="4">
        <v>45091</v>
      </c>
      <c r="C969" s="8" t="str">
        <f>"Ord-06-23-"&amp;TEXT(ROW(C71),"000")</f>
        <v>Ord-06-23-071</v>
      </c>
      <c r="D969" s="6" t="s">
        <v>26</v>
      </c>
      <c r="E969" s="10" t="s">
        <v>28</v>
      </c>
      <c r="F969" s="10" t="s">
        <v>28</v>
      </c>
      <c r="G969" s="10" t="s">
        <v>71</v>
      </c>
      <c r="H969" s="10">
        <v>850</v>
      </c>
      <c r="I969" s="6">
        <v>5</v>
      </c>
      <c r="J969" s="6">
        <f>H969*I969</f>
        <v>4250</v>
      </c>
    </row>
    <row r="970" spans="2:10" ht="20.100000000000001" customHeight="1" x14ac:dyDescent="0.25">
      <c r="B970" s="4">
        <v>45091</v>
      </c>
      <c r="C970" s="8" t="str">
        <f>"Ord-06-23-"&amp;TEXT(ROW(C72),"000")</f>
        <v>Ord-06-23-072</v>
      </c>
      <c r="D970" s="6" t="s">
        <v>18</v>
      </c>
      <c r="E970" s="10" t="s">
        <v>32</v>
      </c>
      <c r="F970" s="10" t="s">
        <v>44</v>
      </c>
      <c r="G970" s="10" t="s">
        <v>74</v>
      </c>
      <c r="H970" s="10">
        <v>1800</v>
      </c>
      <c r="I970" s="6">
        <v>5</v>
      </c>
      <c r="J970" s="6">
        <f>H970*I970</f>
        <v>9000</v>
      </c>
    </row>
    <row r="971" spans="2:10" ht="20.100000000000001" customHeight="1" x14ac:dyDescent="0.25">
      <c r="B971" s="4">
        <v>45091</v>
      </c>
      <c r="C971" s="8" t="str">
        <f>"Ord-06-23-"&amp;TEXT(ROW(C73),"000")</f>
        <v>Ord-06-23-073</v>
      </c>
      <c r="D971" s="6" t="s">
        <v>15</v>
      </c>
      <c r="E971" s="10" t="s">
        <v>31</v>
      </c>
      <c r="F971" s="10" t="s">
        <v>48</v>
      </c>
      <c r="G971" s="10" t="s">
        <v>59</v>
      </c>
      <c r="H971" s="10">
        <v>4000</v>
      </c>
      <c r="I971" s="6">
        <v>1</v>
      </c>
      <c r="J971" s="6">
        <f>H971*I971</f>
        <v>4000</v>
      </c>
    </row>
    <row r="972" spans="2:10" ht="20.100000000000001" customHeight="1" x14ac:dyDescent="0.25">
      <c r="B972" s="4">
        <v>45091</v>
      </c>
      <c r="C972" s="8" t="str">
        <f>"Ord-06-23-"&amp;TEXT(ROW(C74),"000")</f>
        <v>Ord-06-23-074</v>
      </c>
      <c r="D972" s="6" t="s">
        <v>12</v>
      </c>
      <c r="E972" s="10" t="s">
        <v>36</v>
      </c>
      <c r="F972" s="10" t="s">
        <v>36</v>
      </c>
      <c r="G972" s="10" t="s">
        <v>78</v>
      </c>
      <c r="H972" s="10">
        <v>2500</v>
      </c>
      <c r="I972" s="6">
        <v>3</v>
      </c>
      <c r="J972" s="6">
        <f>H972*I972</f>
        <v>7500</v>
      </c>
    </row>
    <row r="973" spans="2:10" ht="20.100000000000001" customHeight="1" x14ac:dyDescent="0.25">
      <c r="B973" s="4">
        <v>45091</v>
      </c>
      <c r="C973" s="8" t="str">
        <f>"Ord-06-23-"&amp;TEXT(ROW(C75),"000")</f>
        <v>Ord-06-23-075</v>
      </c>
      <c r="D973" s="6" t="s">
        <v>19</v>
      </c>
      <c r="E973" s="10" t="s">
        <v>27</v>
      </c>
      <c r="F973" s="10" t="s">
        <v>41</v>
      </c>
      <c r="G973" s="10" t="s">
        <v>53</v>
      </c>
      <c r="H973" s="10">
        <v>3000</v>
      </c>
      <c r="I973" s="6">
        <v>5</v>
      </c>
      <c r="J973" s="6">
        <f>H973*I973</f>
        <v>15000</v>
      </c>
    </row>
    <row r="974" spans="2:10" ht="20.100000000000001" customHeight="1" x14ac:dyDescent="0.25">
      <c r="B974" s="4">
        <v>45092</v>
      </c>
      <c r="C974" s="8" t="str">
        <f>"Ord-06-23-"&amp;TEXT(ROW(C76),"000")</f>
        <v>Ord-06-23-076</v>
      </c>
      <c r="D974" s="6" t="s">
        <v>22</v>
      </c>
      <c r="E974" s="10" t="s">
        <v>36</v>
      </c>
      <c r="F974" s="10" t="s">
        <v>36</v>
      </c>
      <c r="G974" s="10" t="s">
        <v>78</v>
      </c>
      <c r="H974" s="10">
        <v>2500</v>
      </c>
      <c r="I974" s="6">
        <v>1</v>
      </c>
      <c r="J974" s="6">
        <f>H974*I974</f>
        <v>2500</v>
      </c>
    </row>
    <row r="975" spans="2:10" ht="20.100000000000001" customHeight="1" x14ac:dyDescent="0.25">
      <c r="B975" s="4">
        <v>45092</v>
      </c>
      <c r="C975" s="8" t="str">
        <f>"Ord-06-23-"&amp;TEXT(ROW(C77),"000")</f>
        <v>Ord-06-23-077</v>
      </c>
      <c r="D975" s="6" t="s">
        <v>12</v>
      </c>
      <c r="E975" s="10" t="s">
        <v>29</v>
      </c>
      <c r="F975" s="10" t="s">
        <v>40</v>
      </c>
      <c r="G975" s="10" t="s">
        <v>84</v>
      </c>
      <c r="H975" s="10">
        <v>7500</v>
      </c>
      <c r="I975" s="6">
        <v>3</v>
      </c>
      <c r="J975" s="6">
        <f>H975*I975</f>
        <v>22500</v>
      </c>
    </row>
    <row r="976" spans="2:10" ht="20.100000000000001" customHeight="1" x14ac:dyDescent="0.25">
      <c r="B976" s="4">
        <v>45092</v>
      </c>
      <c r="C976" s="8" t="str">
        <f>"Ord-06-23-"&amp;TEXT(ROW(C78),"000")</f>
        <v>Ord-06-23-078</v>
      </c>
      <c r="D976" s="6" t="s">
        <v>26</v>
      </c>
      <c r="E976" s="10" t="s">
        <v>29</v>
      </c>
      <c r="F976" s="10" t="s">
        <v>39</v>
      </c>
      <c r="G976" s="10" t="s">
        <v>60</v>
      </c>
      <c r="H976" s="10">
        <v>1500</v>
      </c>
      <c r="I976" s="6">
        <v>3</v>
      </c>
      <c r="J976" s="6">
        <f>H976*I976</f>
        <v>4500</v>
      </c>
    </row>
    <row r="977" spans="2:10" ht="20.100000000000001" customHeight="1" x14ac:dyDescent="0.25">
      <c r="B977" s="4">
        <v>45092</v>
      </c>
      <c r="C977" s="8" t="str">
        <f>"Ord-06-23-"&amp;TEXT(ROW(C79),"000")</f>
        <v>Ord-06-23-079</v>
      </c>
      <c r="D977" s="6" t="s">
        <v>24</v>
      </c>
      <c r="E977" s="10" t="s">
        <v>34</v>
      </c>
      <c r="F977" s="10" t="s">
        <v>49</v>
      </c>
      <c r="G977" s="10" t="s">
        <v>75</v>
      </c>
      <c r="H977" s="10">
        <v>4300</v>
      </c>
      <c r="I977" s="6">
        <v>5</v>
      </c>
      <c r="J977" s="6">
        <f>H977*I977</f>
        <v>21500</v>
      </c>
    </row>
    <row r="978" spans="2:10" ht="20.100000000000001" customHeight="1" x14ac:dyDescent="0.25">
      <c r="B978" s="4">
        <v>45092</v>
      </c>
      <c r="C978" s="8" t="str">
        <f>"Ord-06-23-"&amp;TEXT(ROW(C80),"000")</f>
        <v>Ord-06-23-080</v>
      </c>
      <c r="D978" s="6" t="s">
        <v>13</v>
      </c>
      <c r="E978" s="10" t="s">
        <v>34</v>
      </c>
      <c r="F978" s="10" t="s">
        <v>49</v>
      </c>
      <c r="G978" s="10" t="s">
        <v>68</v>
      </c>
      <c r="H978" s="10">
        <v>4000</v>
      </c>
      <c r="I978" s="6">
        <v>4</v>
      </c>
      <c r="J978" s="6">
        <f>H978*I978</f>
        <v>16000</v>
      </c>
    </row>
    <row r="979" spans="2:10" ht="20.100000000000001" customHeight="1" x14ac:dyDescent="0.25">
      <c r="B979" s="4">
        <v>45093</v>
      </c>
      <c r="C979" s="8" t="str">
        <f>"Ord-06-23-"&amp;TEXT(ROW(C81),"000")</f>
        <v>Ord-06-23-081</v>
      </c>
      <c r="D979" s="6" t="s">
        <v>19</v>
      </c>
      <c r="E979" s="10" t="s">
        <v>31</v>
      </c>
      <c r="F979" s="10" t="s">
        <v>45</v>
      </c>
      <c r="G979" s="10" t="s">
        <v>63</v>
      </c>
      <c r="H979" s="10">
        <v>1800</v>
      </c>
      <c r="I979" s="6">
        <v>2</v>
      </c>
      <c r="J979" s="6">
        <f>H979*I979</f>
        <v>3600</v>
      </c>
    </row>
    <row r="980" spans="2:10" ht="20.100000000000001" customHeight="1" x14ac:dyDescent="0.25">
      <c r="B980" s="4">
        <v>45093</v>
      </c>
      <c r="C980" s="8" t="str">
        <f>"Ord-06-23-"&amp;TEXT(ROW(C82),"000")</f>
        <v>Ord-06-23-082</v>
      </c>
      <c r="D980" s="6" t="s">
        <v>15</v>
      </c>
      <c r="E980" s="10" t="s">
        <v>31</v>
      </c>
      <c r="F980" s="10" t="s">
        <v>45</v>
      </c>
      <c r="G980" s="10" t="s">
        <v>66</v>
      </c>
      <c r="H980" s="10">
        <v>2300</v>
      </c>
      <c r="I980" s="6">
        <v>5</v>
      </c>
      <c r="J980" s="6">
        <f>H980*I980</f>
        <v>11500</v>
      </c>
    </row>
    <row r="981" spans="2:10" ht="20.100000000000001" customHeight="1" x14ac:dyDescent="0.25">
      <c r="B981" s="4">
        <v>45093</v>
      </c>
      <c r="C981" s="8" t="str">
        <f>"Ord-06-23-"&amp;TEXT(ROW(C83),"000")</f>
        <v>Ord-06-23-083</v>
      </c>
      <c r="D981" s="6" t="s">
        <v>20</v>
      </c>
      <c r="E981" s="10" t="s">
        <v>27</v>
      </c>
      <c r="F981" s="10" t="s">
        <v>50</v>
      </c>
      <c r="G981" s="10" t="s">
        <v>54</v>
      </c>
      <c r="H981" s="10">
        <v>3200</v>
      </c>
      <c r="I981" s="6">
        <v>4</v>
      </c>
      <c r="J981" s="6">
        <f>H981*I981</f>
        <v>12800</v>
      </c>
    </row>
    <row r="982" spans="2:10" ht="20.100000000000001" customHeight="1" x14ac:dyDescent="0.25">
      <c r="B982" s="4">
        <v>45093</v>
      </c>
      <c r="C982" s="8" t="str">
        <f>"Ord-06-23-"&amp;TEXT(ROW(C84),"000")</f>
        <v>Ord-06-23-084</v>
      </c>
      <c r="D982" s="6" t="s">
        <v>22</v>
      </c>
      <c r="E982" s="10" t="s">
        <v>27</v>
      </c>
      <c r="F982" s="10" t="s">
        <v>50</v>
      </c>
      <c r="G982" s="10" t="s">
        <v>64</v>
      </c>
      <c r="H982" s="10">
        <v>3000</v>
      </c>
      <c r="I982" s="6">
        <v>3</v>
      </c>
      <c r="J982" s="6">
        <f>H982*I982</f>
        <v>9000</v>
      </c>
    </row>
    <row r="983" spans="2:10" ht="20.100000000000001" customHeight="1" x14ac:dyDescent="0.25">
      <c r="B983" s="4">
        <v>45093</v>
      </c>
      <c r="C983" s="8" t="str">
        <f>"Ord-06-23-"&amp;TEXT(ROW(C85),"000")</f>
        <v>Ord-06-23-085</v>
      </c>
      <c r="D983" s="6" t="s">
        <v>17</v>
      </c>
      <c r="E983" s="10" t="s">
        <v>27</v>
      </c>
      <c r="F983" s="10" t="s">
        <v>38</v>
      </c>
      <c r="G983" s="10" t="s">
        <v>64</v>
      </c>
      <c r="H983" s="10">
        <v>4800</v>
      </c>
      <c r="I983" s="6">
        <v>5</v>
      </c>
      <c r="J983" s="6">
        <f>H983*I983</f>
        <v>24000</v>
      </c>
    </row>
    <row r="984" spans="2:10" ht="20.100000000000001" customHeight="1" x14ac:dyDescent="0.25">
      <c r="B984" s="4">
        <v>45094</v>
      </c>
      <c r="C984" s="8" t="str">
        <f>"Ord-06-23-"&amp;TEXT(ROW(C86),"000")</f>
        <v>Ord-06-23-086</v>
      </c>
      <c r="D984" s="6" t="s">
        <v>7</v>
      </c>
      <c r="E984" s="10" t="s">
        <v>32</v>
      </c>
      <c r="F984" s="10" t="s">
        <v>51</v>
      </c>
      <c r="G984" s="10" t="s">
        <v>83</v>
      </c>
      <c r="H984" s="10">
        <v>4000</v>
      </c>
      <c r="I984" s="6">
        <v>3</v>
      </c>
      <c r="J984" s="6">
        <f>H984*I984</f>
        <v>12000</v>
      </c>
    </row>
    <row r="985" spans="2:10" ht="20.100000000000001" customHeight="1" x14ac:dyDescent="0.25">
      <c r="B985" s="4">
        <v>45094</v>
      </c>
      <c r="C985" s="8" t="str">
        <f>"Ord-06-23-"&amp;TEXT(ROW(C87),"000")</f>
        <v>Ord-06-23-087</v>
      </c>
      <c r="D985" s="6" t="s">
        <v>16</v>
      </c>
      <c r="E985" s="10" t="s">
        <v>36</v>
      </c>
      <c r="F985" s="10" t="s">
        <v>36</v>
      </c>
      <c r="G985" s="10" t="s">
        <v>85</v>
      </c>
      <c r="H985" s="10">
        <v>2200</v>
      </c>
      <c r="I985" s="6">
        <v>2</v>
      </c>
      <c r="J985" s="6">
        <f>H985*I985</f>
        <v>4400</v>
      </c>
    </row>
    <row r="986" spans="2:10" ht="20.100000000000001" customHeight="1" x14ac:dyDescent="0.25">
      <c r="B986" s="4">
        <v>45094</v>
      </c>
      <c r="C986" s="8" t="str">
        <f>"Ord-06-23-"&amp;TEXT(ROW(C88),"000")</f>
        <v>Ord-06-23-088</v>
      </c>
      <c r="D986" s="6" t="s">
        <v>23</v>
      </c>
      <c r="E986" s="10" t="s">
        <v>30</v>
      </c>
      <c r="F986" s="10" t="s">
        <v>90</v>
      </c>
      <c r="G986" s="10" t="s">
        <v>86</v>
      </c>
      <c r="H986" s="10">
        <v>7500</v>
      </c>
      <c r="I986" s="6">
        <v>5</v>
      </c>
      <c r="J986" s="6">
        <f>H986*I986</f>
        <v>37500</v>
      </c>
    </row>
    <row r="987" spans="2:10" ht="20.100000000000001" customHeight="1" x14ac:dyDescent="0.25">
      <c r="B987" s="4">
        <v>45094</v>
      </c>
      <c r="C987" s="8" t="str">
        <f>"Ord-06-23-"&amp;TEXT(ROW(C89),"000")</f>
        <v>Ord-06-23-089</v>
      </c>
      <c r="D987" s="6" t="s">
        <v>24</v>
      </c>
      <c r="E987" s="10" t="s">
        <v>27</v>
      </c>
      <c r="F987" s="10" t="s">
        <v>42</v>
      </c>
      <c r="G987" s="10" t="s">
        <v>42</v>
      </c>
      <c r="H987" s="10">
        <v>2500</v>
      </c>
      <c r="I987" s="6">
        <v>5</v>
      </c>
      <c r="J987" s="6">
        <f>H987*I987</f>
        <v>12500</v>
      </c>
    </row>
    <row r="988" spans="2:10" ht="20.100000000000001" customHeight="1" x14ac:dyDescent="0.25">
      <c r="B988" s="4">
        <v>45094</v>
      </c>
      <c r="C988" s="8" t="str">
        <f>"Ord-06-23-"&amp;TEXT(ROW(C90),"000")</f>
        <v>Ord-06-23-090</v>
      </c>
      <c r="D988" s="6" t="s">
        <v>16</v>
      </c>
      <c r="E988" s="10" t="s">
        <v>27</v>
      </c>
      <c r="F988" s="10" t="s">
        <v>50</v>
      </c>
      <c r="G988" s="10" t="s">
        <v>54</v>
      </c>
      <c r="H988" s="10">
        <v>3200</v>
      </c>
      <c r="I988" s="6">
        <v>1</v>
      </c>
      <c r="J988" s="6">
        <f>H988*I988</f>
        <v>3200</v>
      </c>
    </row>
    <row r="989" spans="2:10" ht="20.100000000000001" customHeight="1" x14ac:dyDescent="0.25">
      <c r="B989" s="4">
        <v>45095</v>
      </c>
      <c r="C989" s="8" t="str">
        <f>"Ord-06-23-"&amp;TEXT(ROW(C91),"000")</f>
        <v>Ord-06-23-091</v>
      </c>
      <c r="D989" s="6" t="s">
        <v>18</v>
      </c>
      <c r="E989" s="10" t="s">
        <v>32</v>
      </c>
      <c r="F989" s="10" t="s">
        <v>44</v>
      </c>
      <c r="G989" s="10" t="s">
        <v>62</v>
      </c>
      <c r="H989" s="10">
        <v>1200</v>
      </c>
      <c r="I989" s="6">
        <v>2</v>
      </c>
      <c r="J989" s="6">
        <f>H989*I989</f>
        <v>2400</v>
      </c>
    </row>
    <row r="990" spans="2:10" ht="20.100000000000001" customHeight="1" x14ac:dyDescent="0.25">
      <c r="B990" s="4">
        <v>45095</v>
      </c>
      <c r="C990" s="8" t="str">
        <f>"Ord-06-23-"&amp;TEXT(ROW(C92),"000")</f>
        <v>Ord-06-23-092</v>
      </c>
      <c r="D990" s="6" t="s">
        <v>21</v>
      </c>
      <c r="E990" s="10" t="s">
        <v>32</v>
      </c>
      <c r="F990" s="10" t="s">
        <v>51</v>
      </c>
      <c r="G990" s="10" t="s">
        <v>83</v>
      </c>
      <c r="H990" s="10">
        <v>4000</v>
      </c>
      <c r="I990" s="6">
        <v>3</v>
      </c>
      <c r="J990" s="6">
        <f>H990*I990</f>
        <v>12000</v>
      </c>
    </row>
    <row r="991" spans="2:10" ht="20.100000000000001" customHeight="1" x14ac:dyDescent="0.25">
      <c r="B991" s="4">
        <v>45095</v>
      </c>
      <c r="C991" s="8" t="str">
        <f>"Ord-06-23-"&amp;TEXT(ROW(C93),"000")</f>
        <v>Ord-06-23-093</v>
      </c>
      <c r="D991" s="6" t="s">
        <v>8</v>
      </c>
      <c r="E991" s="10" t="s">
        <v>29</v>
      </c>
      <c r="F991" s="10" t="s">
        <v>40</v>
      </c>
      <c r="G991" s="10" t="s">
        <v>57</v>
      </c>
      <c r="H991" s="10">
        <v>4000</v>
      </c>
      <c r="I991" s="6">
        <v>4</v>
      </c>
      <c r="J991" s="6">
        <f>H991*I991</f>
        <v>16000</v>
      </c>
    </row>
    <row r="992" spans="2:10" ht="20.100000000000001" customHeight="1" x14ac:dyDescent="0.25">
      <c r="B992" s="4">
        <v>45095</v>
      </c>
      <c r="C992" s="8" t="str">
        <f>"Ord-06-23-"&amp;TEXT(ROW(C94),"000")</f>
        <v>Ord-06-23-094</v>
      </c>
      <c r="D992" s="6" t="s">
        <v>22</v>
      </c>
      <c r="E992" s="10" t="s">
        <v>29</v>
      </c>
      <c r="F992" s="10" t="s">
        <v>39</v>
      </c>
      <c r="G992" s="10" t="s">
        <v>56</v>
      </c>
      <c r="H992" s="10">
        <v>2500</v>
      </c>
      <c r="I992" s="6">
        <v>2</v>
      </c>
      <c r="J992" s="6">
        <f>H992*I992</f>
        <v>5000</v>
      </c>
    </row>
    <row r="993" spans="2:10" ht="20.100000000000001" customHeight="1" x14ac:dyDescent="0.25">
      <c r="B993" s="4">
        <v>45095</v>
      </c>
      <c r="C993" s="8" t="str">
        <f>"Ord-06-23-"&amp;TEXT(ROW(C95),"000")</f>
        <v>Ord-06-23-095</v>
      </c>
      <c r="D993" s="6" t="s">
        <v>24</v>
      </c>
      <c r="E993" s="10" t="s">
        <v>27</v>
      </c>
      <c r="F993" s="10" t="s">
        <v>42</v>
      </c>
      <c r="G993" s="10" t="s">
        <v>42</v>
      </c>
      <c r="H993" s="10">
        <v>2500</v>
      </c>
      <c r="I993" s="6">
        <v>1</v>
      </c>
      <c r="J993" s="6">
        <f>H993*I993</f>
        <v>2500</v>
      </c>
    </row>
    <row r="994" spans="2:10" ht="20.100000000000001" customHeight="1" x14ac:dyDescent="0.25">
      <c r="B994" s="4">
        <v>45096</v>
      </c>
      <c r="C994" s="8" t="str">
        <f>"Ord-06-23-"&amp;TEXT(ROW(C96),"000")</f>
        <v>Ord-06-23-096</v>
      </c>
      <c r="D994" s="6" t="s">
        <v>22</v>
      </c>
      <c r="E994" s="10" t="s">
        <v>32</v>
      </c>
      <c r="F994" s="10" t="s">
        <v>51</v>
      </c>
      <c r="G994" s="10" t="s">
        <v>81</v>
      </c>
      <c r="H994" s="10">
        <v>3000</v>
      </c>
      <c r="I994" s="6">
        <v>1</v>
      </c>
      <c r="J994" s="6">
        <f>H994*I994</f>
        <v>3000</v>
      </c>
    </row>
    <row r="995" spans="2:10" ht="20.100000000000001" customHeight="1" x14ac:dyDescent="0.25">
      <c r="B995" s="4">
        <v>45096</v>
      </c>
      <c r="C995" s="8" t="str">
        <f>"Ord-06-23-"&amp;TEXT(ROW(C97),"000")</f>
        <v>Ord-06-23-097</v>
      </c>
      <c r="D995" s="6" t="s">
        <v>25</v>
      </c>
      <c r="E995" s="10" t="s">
        <v>31</v>
      </c>
      <c r="F995" s="10" t="s">
        <v>52</v>
      </c>
      <c r="G995" s="10" t="s">
        <v>67</v>
      </c>
      <c r="H995" s="10">
        <v>4000</v>
      </c>
      <c r="I995" s="6">
        <v>1</v>
      </c>
      <c r="J995" s="6">
        <f>H995*I995</f>
        <v>4000</v>
      </c>
    </row>
    <row r="996" spans="2:10" ht="20.100000000000001" customHeight="1" x14ac:dyDescent="0.25">
      <c r="B996" s="4">
        <v>45096</v>
      </c>
      <c r="C996" s="8" t="str">
        <f>"Ord-06-23-"&amp;TEXT(ROW(C98),"000")</f>
        <v>Ord-06-23-098</v>
      </c>
      <c r="D996" s="6" t="s">
        <v>8</v>
      </c>
      <c r="E996" s="10" t="s">
        <v>36</v>
      </c>
      <c r="F996" s="10" t="s">
        <v>36</v>
      </c>
      <c r="G996" s="10" t="s">
        <v>85</v>
      </c>
      <c r="H996" s="10">
        <v>2200</v>
      </c>
      <c r="I996" s="6">
        <v>5</v>
      </c>
      <c r="J996" s="6">
        <f>H996*I996</f>
        <v>11000</v>
      </c>
    </row>
    <row r="997" spans="2:10" ht="20.100000000000001" customHeight="1" x14ac:dyDescent="0.25">
      <c r="B997" s="4">
        <v>45096</v>
      </c>
      <c r="C997" s="8" t="str">
        <f>"Ord-06-23-"&amp;TEXT(ROW(C99),"000")</f>
        <v>Ord-06-23-099</v>
      </c>
      <c r="D997" s="6" t="s">
        <v>24</v>
      </c>
      <c r="E997" s="10" t="s">
        <v>36</v>
      </c>
      <c r="F997" s="10" t="s">
        <v>36</v>
      </c>
      <c r="G997" s="10" t="s">
        <v>78</v>
      </c>
      <c r="H997" s="10">
        <v>2500</v>
      </c>
      <c r="I997" s="6">
        <v>4</v>
      </c>
      <c r="J997" s="6">
        <f>H997*I997</f>
        <v>10000</v>
      </c>
    </row>
    <row r="998" spans="2:10" ht="20.100000000000001" customHeight="1" x14ac:dyDescent="0.25">
      <c r="B998" s="4">
        <v>45096</v>
      </c>
      <c r="C998" s="8" t="str">
        <f>"Ord-06-23-"&amp;TEXT(ROW(C100),"000")</f>
        <v>Ord-06-23-100</v>
      </c>
      <c r="D998" s="6" t="s">
        <v>21</v>
      </c>
      <c r="E998" s="10" t="s">
        <v>27</v>
      </c>
      <c r="F998" s="10" t="s">
        <v>42</v>
      </c>
      <c r="G998" s="10" t="s">
        <v>42</v>
      </c>
      <c r="H998" s="10">
        <v>2500</v>
      </c>
      <c r="I998" s="6">
        <v>2</v>
      </c>
      <c r="J998" s="6">
        <f>H998*I998</f>
        <v>5000</v>
      </c>
    </row>
    <row r="999" spans="2:10" ht="20.100000000000001" customHeight="1" x14ac:dyDescent="0.25">
      <c r="B999" s="4">
        <v>45097</v>
      </c>
      <c r="C999" s="8" t="str">
        <f>"Ord-06-23-"&amp;TEXT(ROW(C101),"000")</f>
        <v>Ord-06-23-101</v>
      </c>
      <c r="D999" s="6" t="s">
        <v>23</v>
      </c>
      <c r="E999" s="10" t="s">
        <v>33</v>
      </c>
      <c r="F999" s="10" t="s">
        <v>47</v>
      </c>
      <c r="G999" s="10" t="s">
        <v>65</v>
      </c>
      <c r="H999" s="10">
        <v>25</v>
      </c>
      <c r="I999" s="6">
        <v>300</v>
      </c>
      <c r="J999" s="6">
        <f>H999*I999</f>
        <v>7500</v>
      </c>
    </row>
    <row r="1000" spans="2:10" ht="20.100000000000001" customHeight="1" x14ac:dyDescent="0.25">
      <c r="B1000" s="4">
        <v>45097</v>
      </c>
      <c r="C1000" s="8" t="str">
        <f>"Ord-06-23-"&amp;TEXT(ROW(C102),"000")</f>
        <v>Ord-06-23-102</v>
      </c>
      <c r="D1000" s="6" t="s">
        <v>26</v>
      </c>
      <c r="E1000" s="10" t="s">
        <v>29</v>
      </c>
      <c r="F1000" s="10" t="s">
        <v>39</v>
      </c>
      <c r="G1000" s="10" t="s">
        <v>60</v>
      </c>
      <c r="H1000" s="10">
        <v>1500</v>
      </c>
      <c r="I1000" s="6">
        <v>1</v>
      </c>
      <c r="J1000" s="6">
        <f>H1000*I1000</f>
        <v>1500</v>
      </c>
    </row>
    <row r="1001" spans="2:10" ht="20.100000000000001" customHeight="1" x14ac:dyDescent="0.25">
      <c r="B1001" s="4">
        <v>45097</v>
      </c>
      <c r="C1001" s="8" t="str">
        <f>"Ord-06-23-"&amp;TEXT(ROW(C103),"000")</f>
        <v>Ord-06-23-103</v>
      </c>
      <c r="D1001" s="6" t="s">
        <v>11</v>
      </c>
      <c r="E1001" s="10" t="s">
        <v>30</v>
      </c>
      <c r="F1001" s="10" t="s">
        <v>90</v>
      </c>
      <c r="G1001" s="10" t="s">
        <v>86</v>
      </c>
      <c r="H1001" s="10">
        <v>7500</v>
      </c>
      <c r="I1001" s="6">
        <v>1</v>
      </c>
      <c r="J1001" s="6">
        <f>H1001*I1001</f>
        <v>7500</v>
      </c>
    </row>
    <row r="1002" spans="2:10" ht="20.100000000000001" customHeight="1" x14ac:dyDescent="0.25">
      <c r="B1002" s="4">
        <v>45097</v>
      </c>
      <c r="C1002" s="8" t="str">
        <f>"Ord-06-23-"&amp;TEXT(ROW(C104),"000")</f>
        <v>Ord-06-23-104</v>
      </c>
      <c r="D1002" s="6" t="s">
        <v>20</v>
      </c>
      <c r="E1002" s="10" t="s">
        <v>27</v>
      </c>
      <c r="F1002" s="10" t="s">
        <v>42</v>
      </c>
      <c r="G1002" s="10" t="s">
        <v>42</v>
      </c>
      <c r="H1002" s="10">
        <v>2500</v>
      </c>
      <c r="I1002" s="6">
        <v>2</v>
      </c>
      <c r="J1002" s="6">
        <f>H1002*I1002</f>
        <v>5000</v>
      </c>
    </row>
    <row r="1003" spans="2:10" ht="20.100000000000001" customHeight="1" x14ac:dyDescent="0.25">
      <c r="B1003" s="4">
        <v>45097</v>
      </c>
      <c r="C1003" s="8" t="str">
        <f>"Ord-06-23-"&amp;TEXT(ROW(C105),"000")</f>
        <v>Ord-06-23-105</v>
      </c>
      <c r="D1003" s="6" t="s">
        <v>22</v>
      </c>
      <c r="E1003" s="10" t="s">
        <v>27</v>
      </c>
      <c r="F1003" s="10" t="s">
        <v>41</v>
      </c>
      <c r="G1003" s="10" t="s">
        <v>64</v>
      </c>
      <c r="H1003" s="10">
        <v>2500</v>
      </c>
      <c r="I1003" s="6">
        <v>5</v>
      </c>
      <c r="J1003" s="6">
        <f>H1003*I1003</f>
        <v>12500</v>
      </c>
    </row>
    <row r="1004" spans="2:10" ht="20.100000000000001" customHeight="1" x14ac:dyDescent="0.25">
      <c r="B1004" s="4">
        <v>45098</v>
      </c>
      <c r="C1004" s="8" t="str">
        <f>"Ord-06-23-"&amp;TEXT(ROW(C106),"000")</f>
        <v>Ord-06-23-106</v>
      </c>
      <c r="D1004" s="6" t="s">
        <v>17</v>
      </c>
      <c r="E1004" s="10" t="s">
        <v>31</v>
      </c>
      <c r="F1004" s="10" t="s">
        <v>52</v>
      </c>
      <c r="G1004" s="10" t="s">
        <v>59</v>
      </c>
      <c r="H1004" s="10">
        <v>3500</v>
      </c>
      <c r="I1004" s="6">
        <v>3</v>
      </c>
      <c r="J1004" s="6">
        <f>H1004*I1004</f>
        <v>10500</v>
      </c>
    </row>
    <row r="1005" spans="2:10" ht="20.100000000000001" customHeight="1" x14ac:dyDescent="0.25">
      <c r="B1005" s="4">
        <v>45098</v>
      </c>
      <c r="C1005" s="8" t="str">
        <f>"Ord-06-23-"&amp;TEXT(ROW(C107),"000")</f>
        <v>Ord-06-23-107</v>
      </c>
      <c r="D1005" s="6" t="s">
        <v>21</v>
      </c>
      <c r="E1005" s="10" t="s">
        <v>36</v>
      </c>
      <c r="F1005" s="10" t="s">
        <v>36</v>
      </c>
      <c r="G1005" s="10" t="s">
        <v>78</v>
      </c>
      <c r="H1005" s="10">
        <v>2500</v>
      </c>
      <c r="I1005" s="6">
        <v>5</v>
      </c>
      <c r="J1005" s="6">
        <f>H1005*I1005</f>
        <v>12500</v>
      </c>
    </row>
    <row r="1006" spans="2:10" ht="20.100000000000001" customHeight="1" x14ac:dyDescent="0.25">
      <c r="B1006" s="4">
        <v>45098</v>
      </c>
      <c r="C1006" s="8" t="str">
        <f>"Ord-06-23-"&amp;TEXT(ROW(C108),"000")</f>
        <v>Ord-06-23-108</v>
      </c>
      <c r="D1006" s="6" t="s">
        <v>19</v>
      </c>
      <c r="E1006" s="10" t="s">
        <v>36</v>
      </c>
      <c r="F1006" s="10" t="s">
        <v>36</v>
      </c>
      <c r="G1006" s="10" t="s">
        <v>41</v>
      </c>
      <c r="H1006" s="10">
        <v>2000</v>
      </c>
      <c r="I1006" s="6">
        <v>5</v>
      </c>
      <c r="J1006" s="6">
        <f>H1006*I1006</f>
        <v>10000</v>
      </c>
    </row>
    <row r="1007" spans="2:10" ht="20.100000000000001" customHeight="1" x14ac:dyDescent="0.25">
      <c r="B1007" s="4">
        <v>45098</v>
      </c>
      <c r="C1007" s="8" t="str">
        <f>"Ord-06-23-"&amp;TEXT(ROW(C109),"000")</f>
        <v>Ord-06-23-109</v>
      </c>
      <c r="D1007" s="6" t="s">
        <v>9</v>
      </c>
      <c r="E1007" s="10" t="s">
        <v>30</v>
      </c>
      <c r="F1007" s="10" t="s">
        <v>90</v>
      </c>
      <c r="G1007" s="10" t="s">
        <v>59</v>
      </c>
      <c r="H1007" s="10">
        <v>4800</v>
      </c>
      <c r="I1007" s="6">
        <v>4</v>
      </c>
      <c r="J1007" s="6">
        <f>H1007*I1007</f>
        <v>19200</v>
      </c>
    </row>
    <row r="1008" spans="2:10" ht="20.100000000000001" customHeight="1" x14ac:dyDescent="0.25">
      <c r="B1008" s="4">
        <v>45098</v>
      </c>
      <c r="C1008" s="8" t="str">
        <f>"Ord-06-23-"&amp;TEXT(ROW(C110),"000")</f>
        <v>Ord-06-23-110</v>
      </c>
      <c r="D1008" s="6" t="s">
        <v>20</v>
      </c>
      <c r="E1008" s="10" t="s">
        <v>34</v>
      </c>
      <c r="F1008" s="10" t="s">
        <v>49</v>
      </c>
      <c r="G1008" s="10" t="s">
        <v>68</v>
      </c>
      <c r="H1008" s="10">
        <v>4000</v>
      </c>
      <c r="I1008" s="6">
        <v>4</v>
      </c>
      <c r="J1008" s="6">
        <f>H1008*I1008</f>
        <v>16000</v>
      </c>
    </row>
    <row r="1009" spans="2:10" ht="20.100000000000001" customHeight="1" x14ac:dyDescent="0.25">
      <c r="B1009" s="4">
        <v>45099</v>
      </c>
      <c r="C1009" s="8" t="str">
        <f>"Ord-06-23-"&amp;TEXT(ROW(C111),"000")</f>
        <v>Ord-06-23-111</v>
      </c>
      <c r="D1009" s="6" t="s">
        <v>15</v>
      </c>
      <c r="E1009" s="10" t="s">
        <v>28</v>
      </c>
      <c r="F1009" s="10" t="s">
        <v>28</v>
      </c>
      <c r="G1009" s="10" t="s">
        <v>77</v>
      </c>
      <c r="H1009" s="10">
        <v>1200</v>
      </c>
      <c r="I1009" s="6">
        <v>3</v>
      </c>
      <c r="J1009" s="6">
        <f>H1009*I1009</f>
        <v>3600</v>
      </c>
    </row>
    <row r="1010" spans="2:10" ht="20.100000000000001" customHeight="1" x14ac:dyDescent="0.25">
      <c r="B1010" s="4">
        <v>45099</v>
      </c>
      <c r="C1010" s="8" t="str">
        <f>"Ord-06-23-"&amp;TEXT(ROW(C112),"000")</f>
        <v>Ord-06-23-112</v>
      </c>
      <c r="D1010" s="6" t="s">
        <v>15</v>
      </c>
      <c r="E1010" s="10" t="s">
        <v>33</v>
      </c>
      <c r="F1010" s="10" t="s">
        <v>46</v>
      </c>
      <c r="G1010" s="10" t="s">
        <v>65</v>
      </c>
      <c r="H1010" s="10">
        <v>15</v>
      </c>
      <c r="I1010" s="6">
        <v>400</v>
      </c>
      <c r="J1010" s="6">
        <f>H1010*I1010</f>
        <v>6000</v>
      </c>
    </row>
    <row r="1011" spans="2:10" ht="20.100000000000001" customHeight="1" x14ac:dyDescent="0.25">
      <c r="B1011" s="4">
        <v>45099</v>
      </c>
      <c r="C1011" s="8" t="str">
        <f>"Ord-06-23-"&amp;TEXT(ROW(C113),"000")</f>
        <v>Ord-06-23-113</v>
      </c>
      <c r="D1011" s="6" t="s">
        <v>17</v>
      </c>
      <c r="E1011" s="10" t="s">
        <v>31</v>
      </c>
      <c r="F1011" s="10" t="s">
        <v>45</v>
      </c>
      <c r="G1011" s="10" t="s">
        <v>59</v>
      </c>
      <c r="H1011" s="10">
        <v>4000</v>
      </c>
      <c r="I1011" s="6">
        <v>3</v>
      </c>
      <c r="J1011" s="6">
        <f>H1011*I1011</f>
        <v>12000</v>
      </c>
    </row>
    <row r="1012" spans="2:10" ht="20.100000000000001" customHeight="1" x14ac:dyDescent="0.25">
      <c r="B1012" s="4">
        <v>45099</v>
      </c>
      <c r="C1012" s="8" t="str">
        <f>"Ord-06-23-"&amp;TEXT(ROW(C114),"000")</f>
        <v>Ord-06-23-114</v>
      </c>
      <c r="D1012" s="6" t="s">
        <v>17</v>
      </c>
      <c r="E1012" s="10" t="s">
        <v>36</v>
      </c>
      <c r="F1012" s="10" t="s">
        <v>36</v>
      </c>
      <c r="G1012" s="10" t="s">
        <v>85</v>
      </c>
      <c r="H1012" s="10">
        <v>2200</v>
      </c>
      <c r="I1012" s="6">
        <v>4</v>
      </c>
      <c r="J1012" s="6">
        <f>H1012*I1012</f>
        <v>8800</v>
      </c>
    </row>
    <row r="1013" spans="2:10" ht="20.100000000000001" customHeight="1" x14ac:dyDescent="0.25">
      <c r="B1013" s="4">
        <v>45099</v>
      </c>
      <c r="C1013" s="8" t="str">
        <f>"Ord-06-23-"&amp;TEXT(ROW(C115),"000")</f>
        <v>Ord-06-23-115</v>
      </c>
      <c r="D1013" s="6" t="s">
        <v>13</v>
      </c>
      <c r="E1013" s="10" t="s">
        <v>34</v>
      </c>
      <c r="F1013" s="10" t="s">
        <v>49</v>
      </c>
      <c r="G1013" s="10" t="s">
        <v>75</v>
      </c>
      <c r="H1013" s="10">
        <v>4300</v>
      </c>
      <c r="I1013" s="6">
        <v>3</v>
      </c>
      <c r="J1013" s="6">
        <f>H1013*I1013</f>
        <v>12900</v>
      </c>
    </row>
    <row r="1014" spans="2:10" ht="20.100000000000001" customHeight="1" x14ac:dyDescent="0.25">
      <c r="B1014" s="4">
        <v>45100</v>
      </c>
      <c r="C1014" s="8" t="str">
        <f>"Ord-06-23-"&amp;TEXT(ROW(C116),"000")</f>
        <v>Ord-06-23-116</v>
      </c>
      <c r="D1014" s="6" t="s">
        <v>17</v>
      </c>
      <c r="E1014" s="10" t="s">
        <v>32</v>
      </c>
      <c r="F1014" s="10" t="s">
        <v>51</v>
      </c>
      <c r="G1014" s="10" t="s">
        <v>72</v>
      </c>
      <c r="H1014" s="10">
        <v>2200</v>
      </c>
      <c r="I1014" s="6">
        <v>5</v>
      </c>
      <c r="J1014" s="6">
        <f>H1014*I1014</f>
        <v>11000</v>
      </c>
    </row>
    <row r="1015" spans="2:10" ht="20.100000000000001" customHeight="1" x14ac:dyDescent="0.25">
      <c r="B1015" s="4">
        <v>45100</v>
      </c>
      <c r="C1015" s="8" t="str">
        <f>"Ord-06-23-"&amp;TEXT(ROW(C117),"000")</f>
        <v>Ord-06-23-117</v>
      </c>
      <c r="D1015" s="6" t="s">
        <v>7</v>
      </c>
      <c r="E1015" s="10" t="s">
        <v>32</v>
      </c>
      <c r="F1015" s="10" t="s">
        <v>51</v>
      </c>
      <c r="G1015" s="10" t="s">
        <v>81</v>
      </c>
      <c r="H1015" s="10">
        <v>3000</v>
      </c>
      <c r="I1015" s="6">
        <v>2</v>
      </c>
      <c r="J1015" s="6">
        <f>H1015*I1015</f>
        <v>6000</v>
      </c>
    </row>
    <row r="1016" spans="2:10" ht="20.100000000000001" customHeight="1" x14ac:dyDescent="0.25">
      <c r="B1016" s="4">
        <v>45100</v>
      </c>
      <c r="C1016" s="8" t="str">
        <f>"Ord-06-23-"&amp;TEXT(ROW(C118),"000")</f>
        <v>Ord-06-23-118</v>
      </c>
      <c r="D1016" s="6" t="s">
        <v>16</v>
      </c>
      <c r="E1016" s="10" t="s">
        <v>33</v>
      </c>
      <c r="F1016" s="10" t="s">
        <v>46</v>
      </c>
      <c r="G1016" s="10" t="s">
        <v>65</v>
      </c>
      <c r="H1016" s="10">
        <v>15</v>
      </c>
      <c r="I1016" s="6">
        <v>250</v>
      </c>
      <c r="J1016" s="6">
        <f>H1016*I1016</f>
        <v>3750</v>
      </c>
    </row>
    <row r="1017" spans="2:10" ht="20.100000000000001" customHeight="1" x14ac:dyDescent="0.25">
      <c r="B1017" s="4">
        <v>45100</v>
      </c>
      <c r="C1017" s="8" t="str">
        <f>"Ord-06-23-"&amp;TEXT(ROW(C119),"000")</f>
        <v>Ord-06-23-119</v>
      </c>
      <c r="D1017" s="6" t="s">
        <v>21</v>
      </c>
      <c r="E1017" s="10" t="s">
        <v>30</v>
      </c>
      <c r="F1017" s="10" t="s">
        <v>90</v>
      </c>
      <c r="G1017" s="10" t="s">
        <v>59</v>
      </c>
      <c r="H1017" s="10">
        <v>4800</v>
      </c>
      <c r="I1017" s="6">
        <v>1</v>
      </c>
      <c r="J1017" s="6">
        <f>H1017*I1017</f>
        <v>4800</v>
      </c>
    </row>
    <row r="1018" spans="2:10" ht="20.100000000000001" customHeight="1" x14ac:dyDescent="0.25">
      <c r="B1018" s="4">
        <v>45100</v>
      </c>
      <c r="C1018" s="8" t="str">
        <f>"Ord-06-23-"&amp;TEXT(ROW(C120),"000")</f>
        <v>Ord-06-23-120</v>
      </c>
      <c r="D1018" s="6" t="s">
        <v>14</v>
      </c>
      <c r="E1018" s="10" t="s">
        <v>27</v>
      </c>
      <c r="F1018" s="10" t="s">
        <v>42</v>
      </c>
      <c r="G1018" s="10" t="s">
        <v>42</v>
      </c>
      <c r="H1018" s="10">
        <v>2500</v>
      </c>
      <c r="I1018" s="6">
        <v>1</v>
      </c>
      <c r="J1018" s="6">
        <f>H1018*I1018</f>
        <v>2500</v>
      </c>
    </row>
    <row r="1019" spans="2:10" ht="20.100000000000001" customHeight="1" x14ac:dyDescent="0.25">
      <c r="B1019" s="4">
        <v>45101</v>
      </c>
      <c r="C1019" s="8" t="str">
        <f>"Ord-06-23-"&amp;TEXT(ROW(C121),"000")</f>
        <v>Ord-06-23-121</v>
      </c>
      <c r="D1019" s="6" t="s">
        <v>11</v>
      </c>
      <c r="E1019" s="10" t="s">
        <v>28</v>
      </c>
      <c r="F1019" s="10" t="s">
        <v>28</v>
      </c>
      <c r="G1019" s="10" t="s">
        <v>79</v>
      </c>
      <c r="H1019" s="10">
        <v>600</v>
      </c>
      <c r="I1019" s="6">
        <v>3</v>
      </c>
      <c r="J1019" s="6">
        <f>H1019*I1019</f>
        <v>1800</v>
      </c>
    </row>
    <row r="1020" spans="2:10" ht="20.100000000000001" customHeight="1" x14ac:dyDescent="0.25">
      <c r="B1020" s="4">
        <v>45101</v>
      </c>
      <c r="C1020" s="8" t="str">
        <f>"Ord-06-23-"&amp;TEXT(ROW(C122),"000")</f>
        <v>Ord-06-23-122</v>
      </c>
      <c r="D1020" s="6" t="s">
        <v>23</v>
      </c>
      <c r="E1020" s="10" t="s">
        <v>36</v>
      </c>
      <c r="F1020" s="10" t="s">
        <v>36</v>
      </c>
      <c r="G1020" s="10" t="s">
        <v>85</v>
      </c>
      <c r="H1020" s="10">
        <v>2200</v>
      </c>
      <c r="I1020" s="6">
        <v>1</v>
      </c>
      <c r="J1020" s="6">
        <f>H1020*I1020</f>
        <v>2200</v>
      </c>
    </row>
    <row r="1021" spans="2:10" ht="20.100000000000001" customHeight="1" x14ac:dyDescent="0.25">
      <c r="B1021" s="4">
        <v>45101</v>
      </c>
      <c r="C1021" s="8" t="str">
        <f>"Ord-06-23-"&amp;TEXT(ROW(C123),"000")</f>
        <v>Ord-06-23-123</v>
      </c>
      <c r="D1021" s="6" t="s">
        <v>25</v>
      </c>
      <c r="E1021" s="10" t="s">
        <v>36</v>
      </c>
      <c r="F1021" s="10" t="s">
        <v>36</v>
      </c>
      <c r="G1021" s="10" t="s">
        <v>78</v>
      </c>
      <c r="H1021" s="10">
        <v>2500</v>
      </c>
      <c r="I1021" s="6">
        <v>5</v>
      </c>
      <c r="J1021" s="6">
        <f>H1021*I1021</f>
        <v>12500</v>
      </c>
    </row>
    <row r="1022" spans="2:10" ht="20.100000000000001" customHeight="1" x14ac:dyDescent="0.25">
      <c r="B1022" s="4">
        <v>45101</v>
      </c>
      <c r="C1022" s="8" t="str">
        <f>"Ord-06-23-"&amp;TEXT(ROW(C124),"000")</f>
        <v>Ord-06-23-124</v>
      </c>
      <c r="D1022" s="6" t="s">
        <v>7</v>
      </c>
      <c r="E1022" s="10" t="s">
        <v>29</v>
      </c>
      <c r="F1022" s="10" t="s">
        <v>39</v>
      </c>
      <c r="G1022" s="10" t="s">
        <v>60</v>
      </c>
      <c r="H1022" s="10">
        <v>1500</v>
      </c>
      <c r="I1022" s="6">
        <v>5</v>
      </c>
      <c r="J1022" s="6">
        <f>H1022*I1022</f>
        <v>7500</v>
      </c>
    </row>
    <row r="1023" spans="2:10" ht="20.100000000000001" customHeight="1" x14ac:dyDescent="0.25">
      <c r="B1023" s="4">
        <v>45101</v>
      </c>
      <c r="C1023" s="8" t="str">
        <f>"Ord-06-23-"&amp;TEXT(ROW(C125),"000")</f>
        <v>Ord-06-23-125</v>
      </c>
      <c r="D1023" s="6" t="s">
        <v>26</v>
      </c>
      <c r="E1023" s="10" t="s">
        <v>27</v>
      </c>
      <c r="F1023" s="10" t="s">
        <v>50</v>
      </c>
      <c r="G1023" s="10" t="s">
        <v>54</v>
      </c>
      <c r="H1023" s="10">
        <v>3200</v>
      </c>
      <c r="I1023" s="6">
        <v>2</v>
      </c>
      <c r="J1023" s="6">
        <f>H1023*I1023</f>
        <v>6400</v>
      </c>
    </row>
    <row r="1024" spans="2:10" ht="20.100000000000001" customHeight="1" x14ac:dyDescent="0.25">
      <c r="B1024" s="4">
        <v>45102</v>
      </c>
      <c r="C1024" s="8" t="str">
        <f>"Ord-06-23-"&amp;TEXT(ROW(C126),"000")</f>
        <v>Ord-06-23-126</v>
      </c>
      <c r="D1024" s="6" t="s">
        <v>17</v>
      </c>
      <c r="E1024" s="10" t="s">
        <v>35</v>
      </c>
      <c r="F1024" s="12" t="s">
        <v>90</v>
      </c>
      <c r="G1024" s="10" t="s">
        <v>71</v>
      </c>
      <c r="H1024" s="10">
        <v>5500</v>
      </c>
      <c r="I1024" s="6">
        <v>1</v>
      </c>
      <c r="J1024" s="6">
        <f>H1024*I1024</f>
        <v>5500</v>
      </c>
    </row>
    <row r="1025" spans="2:10" ht="20.100000000000001" customHeight="1" x14ac:dyDescent="0.25">
      <c r="B1025" s="4">
        <v>45102</v>
      </c>
      <c r="C1025" s="8" t="str">
        <f>"Ord-06-23-"&amp;TEXT(ROW(C127),"000")</f>
        <v>Ord-06-23-127</v>
      </c>
      <c r="D1025" s="6" t="s">
        <v>19</v>
      </c>
      <c r="E1025" s="10" t="s">
        <v>28</v>
      </c>
      <c r="F1025" s="10" t="s">
        <v>28</v>
      </c>
      <c r="G1025" s="10" t="s">
        <v>71</v>
      </c>
      <c r="H1025" s="10">
        <v>850</v>
      </c>
      <c r="I1025" s="6">
        <v>5</v>
      </c>
      <c r="J1025" s="6">
        <f>H1025*I1025</f>
        <v>4250</v>
      </c>
    </row>
    <row r="1026" spans="2:10" ht="20.100000000000001" customHeight="1" x14ac:dyDescent="0.25">
      <c r="B1026" s="4">
        <v>45102</v>
      </c>
      <c r="C1026" s="8" t="str">
        <f>"Ord-06-23-"&amp;TEXT(ROW(C128),"000")</f>
        <v>Ord-06-23-128</v>
      </c>
      <c r="D1026" s="6" t="s">
        <v>17</v>
      </c>
      <c r="E1026" s="10" t="s">
        <v>33</v>
      </c>
      <c r="F1026" s="10" t="s">
        <v>47</v>
      </c>
      <c r="G1026" s="10" t="s">
        <v>65</v>
      </c>
      <c r="H1026" s="10">
        <v>25</v>
      </c>
      <c r="I1026" s="6">
        <v>180</v>
      </c>
      <c r="J1026" s="6">
        <f>H1026*I1026</f>
        <v>4500</v>
      </c>
    </row>
    <row r="1027" spans="2:10" ht="20.100000000000001" customHeight="1" x14ac:dyDescent="0.25">
      <c r="B1027" s="4">
        <v>45102</v>
      </c>
      <c r="C1027" s="8" t="str">
        <f>"Ord-06-23-"&amp;TEXT(ROW(C129),"000")</f>
        <v>Ord-06-23-129</v>
      </c>
      <c r="D1027" s="6" t="s">
        <v>19</v>
      </c>
      <c r="E1027" s="10" t="s">
        <v>31</v>
      </c>
      <c r="F1027" s="10" t="s">
        <v>43</v>
      </c>
      <c r="G1027" s="10" t="s">
        <v>82</v>
      </c>
      <c r="H1027" s="10">
        <v>16000</v>
      </c>
      <c r="I1027" s="6">
        <v>2</v>
      </c>
      <c r="J1027" s="6">
        <f>H1027*I1027</f>
        <v>32000</v>
      </c>
    </row>
    <row r="1028" spans="2:10" ht="20.100000000000001" customHeight="1" x14ac:dyDescent="0.25">
      <c r="B1028" s="4">
        <v>45102</v>
      </c>
      <c r="C1028" s="8" t="str">
        <f>"Ord-06-23-"&amp;TEXT(ROW(C130),"000")</f>
        <v>Ord-06-23-130</v>
      </c>
      <c r="D1028" s="6" t="s">
        <v>16</v>
      </c>
      <c r="E1028" s="10" t="s">
        <v>36</v>
      </c>
      <c r="F1028" s="10" t="s">
        <v>36</v>
      </c>
      <c r="G1028" s="10" t="s">
        <v>85</v>
      </c>
      <c r="H1028" s="10">
        <v>2200</v>
      </c>
      <c r="I1028" s="6">
        <v>4</v>
      </c>
      <c r="J1028" s="6">
        <f>H1028*I1028</f>
        <v>8800</v>
      </c>
    </row>
    <row r="1029" spans="2:10" ht="20.100000000000001" customHeight="1" x14ac:dyDescent="0.25">
      <c r="B1029" s="4">
        <v>45103</v>
      </c>
      <c r="C1029" s="8" t="str">
        <f>"Ord-06-23-"&amp;TEXT(ROW(C131),"000")</f>
        <v>Ord-06-23-131</v>
      </c>
      <c r="D1029" s="6" t="s">
        <v>9</v>
      </c>
      <c r="E1029" s="10" t="s">
        <v>27</v>
      </c>
      <c r="F1029" s="10" t="s">
        <v>42</v>
      </c>
      <c r="G1029" s="10" t="s">
        <v>42</v>
      </c>
      <c r="H1029" s="10">
        <v>2500</v>
      </c>
      <c r="I1029" s="6">
        <v>5</v>
      </c>
      <c r="J1029" s="6">
        <f>H1029*I1029</f>
        <v>12500</v>
      </c>
    </row>
    <row r="1030" spans="2:10" ht="20.100000000000001" customHeight="1" x14ac:dyDescent="0.25">
      <c r="B1030" s="4">
        <v>45103</v>
      </c>
      <c r="C1030" s="8" t="str">
        <f>"Ord-06-23-"&amp;TEXT(ROW(C132),"000")</f>
        <v>Ord-06-23-132</v>
      </c>
      <c r="D1030" s="6" t="s">
        <v>19</v>
      </c>
      <c r="E1030" s="10" t="s">
        <v>34</v>
      </c>
      <c r="F1030" s="10" t="s">
        <v>49</v>
      </c>
      <c r="G1030" s="10" t="s">
        <v>68</v>
      </c>
      <c r="H1030" s="10">
        <v>4000</v>
      </c>
      <c r="I1030" s="6">
        <v>5</v>
      </c>
      <c r="J1030" s="6">
        <f>H1030*I1030</f>
        <v>20000</v>
      </c>
    </row>
    <row r="1031" spans="2:10" ht="20.100000000000001" customHeight="1" x14ac:dyDescent="0.25">
      <c r="B1031" s="5">
        <v>45104</v>
      </c>
      <c r="C1031" s="8" t="str">
        <f>"Ord-06-23-"&amp;TEXT(ROW(C133),"000")</f>
        <v>Ord-06-23-133</v>
      </c>
      <c r="D1031" s="6" t="s">
        <v>25</v>
      </c>
      <c r="E1031" s="10" t="s">
        <v>32</v>
      </c>
      <c r="F1031" s="10" t="s">
        <v>51</v>
      </c>
      <c r="G1031" s="10" t="s">
        <v>72</v>
      </c>
      <c r="H1031" s="10">
        <v>2200</v>
      </c>
      <c r="I1031" s="6">
        <v>5</v>
      </c>
      <c r="J1031" s="6">
        <f>H1031*I1031</f>
        <v>11000</v>
      </c>
    </row>
    <row r="1032" spans="2:10" ht="20.100000000000001" customHeight="1" x14ac:dyDescent="0.25">
      <c r="B1032" s="5">
        <v>45104</v>
      </c>
      <c r="C1032" s="8" t="str">
        <f>"Ord-06-23-"&amp;TEXT(ROW(C134),"000")</f>
        <v>Ord-06-23-134</v>
      </c>
      <c r="D1032" s="6" t="s">
        <v>14</v>
      </c>
      <c r="E1032" s="10" t="s">
        <v>36</v>
      </c>
      <c r="F1032" s="10" t="s">
        <v>36</v>
      </c>
      <c r="G1032" s="10" t="s">
        <v>78</v>
      </c>
      <c r="H1032" s="10">
        <v>2500</v>
      </c>
      <c r="I1032" s="6">
        <v>5</v>
      </c>
      <c r="J1032" s="6">
        <f>H1032*I1032</f>
        <v>12500</v>
      </c>
    </row>
    <row r="1033" spans="2:10" ht="20.100000000000001" customHeight="1" x14ac:dyDescent="0.25">
      <c r="B1033" s="5">
        <v>45104</v>
      </c>
      <c r="C1033" s="8" t="str">
        <f>"Ord-06-23-"&amp;TEXT(ROW(C135),"000")</f>
        <v>Ord-06-23-135</v>
      </c>
      <c r="D1033" s="6" t="s">
        <v>25</v>
      </c>
      <c r="E1033" s="10" t="s">
        <v>31</v>
      </c>
      <c r="F1033" s="10" t="s">
        <v>45</v>
      </c>
      <c r="G1033" s="10" t="s">
        <v>67</v>
      </c>
      <c r="H1033" s="10">
        <v>8500</v>
      </c>
      <c r="I1033" s="6">
        <v>2</v>
      </c>
      <c r="J1033" s="6">
        <f>H1033*I1033</f>
        <v>17000</v>
      </c>
    </row>
    <row r="1034" spans="2:10" ht="20.100000000000001" customHeight="1" x14ac:dyDescent="0.25">
      <c r="B1034" s="5">
        <v>45104</v>
      </c>
      <c r="C1034" s="8" t="str">
        <f>"Ord-06-23-"&amp;TEXT(ROW(C136),"000")</f>
        <v>Ord-06-23-136</v>
      </c>
      <c r="D1034" s="6" t="s">
        <v>12</v>
      </c>
      <c r="E1034" s="10" t="s">
        <v>27</v>
      </c>
      <c r="F1034" s="10" t="s">
        <v>41</v>
      </c>
      <c r="G1034" s="10" t="s">
        <v>54</v>
      </c>
      <c r="H1034" s="10">
        <v>2800</v>
      </c>
      <c r="I1034" s="6">
        <v>4</v>
      </c>
      <c r="J1034" s="6">
        <f>H1034*I1034</f>
        <v>11200</v>
      </c>
    </row>
    <row r="1035" spans="2:10" ht="20.100000000000001" customHeight="1" x14ac:dyDescent="0.25">
      <c r="B1035" s="5">
        <v>45104</v>
      </c>
      <c r="C1035" s="8" t="str">
        <f>"Ord-06-23-"&amp;TEXT(ROW(C137),"000")</f>
        <v>Ord-06-23-137</v>
      </c>
      <c r="D1035" s="6" t="s">
        <v>22</v>
      </c>
      <c r="E1035" s="10" t="s">
        <v>32</v>
      </c>
      <c r="F1035" s="10" t="s">
        <v>51</v>
      </c>
      <c r="G1035" s="10" t="s">
        <v>81</v>
      </c>
      <c r="H1035" s="10">
        <v>3000</v>
      </c>
      <c r="I1035" s="6">
        <v>4</v>
      </c>
      <c r="J1035" s="6">
        <f>H1035*I1035</f>
        <v>12000</v>
      </c>
    </row>
    <row r="1036" spans="2:10" ht="20.100000000000001" customHeight="1" x14ac:dyDescent="0.25">
      <c r="B1036" s="5">
        <v>45105</v>
      </c>
      <c r="C1036" s="8" t="str">
        <f>"Ord-06-23-"&amp;TEXT(ROW(C138),"000")</f>
        <v>Ord-06-23-138</v>
      </c>
      <c r="D1036" s="6" t="s">
        <v>22</v>
      </c>
      <c r="E1036" s="10" t="s">
        <v>27</v>
      </c>
      <c r="F1036" s="10" t="s">
        <v>38</v>
      </c>
      <c r="G1036" s="10" t="s">
        <v>53</v>
      </c>
      <c r="H1036" s="10">
        <v>5500</v>
      </c>
      <c r="I1036" s="6">
        <v>2</v>
      </c>
      <c r="J1036" s="6">
        <f>H1036*I1036</f>
        <v>11000</v>
      </c>
    </row>
    <row r="1037" spans="2:10" ht="20.100000000000001" customHeight="1" x14ac:dyDescent="0.25">
      <c r="B1037" s="5">
        <v>45105</v>
      </c>
      <c r="C1037" s="8" t="str">
        <f>"Ord-06-23-"&amp;TEXT(ROW(C139),"000")</f>
        <v>Ord-06-23-139</v>
      </c>
      <c r="D1037" s="6" t="s">
        <v>7</v>
      </c>
      <c r="E1037" s="10" t="s">
        <v>31</v>
      </c>
      <c r="F1037" s="10" t="s">
        <v>43</v>
      </c>
      <c r="G1037" s="10" t="s">
        <v>69</v>
      </c>
      <c r="H1037" s="10">
        <v>4900</v>
      </c>
      <c r="I1037" s="6">
        <v>4</v>
      </c>
      <c r="J1037" s="6">
        <f>H1037*I1037</f>
        <v>19600</v>
      </c>
    </row>
    <row r="1038" spans="2:10" ht="20.100000000000001" customHeight="1" x14ac:dyDescent="0.25">
      <c r="B1038" s="5">
        <v>45105</v>
      </c>
      <c r="C1038" s="8" t="str">
        <f>"Ord-06-23-"&amp;TEXT(ROW(C140),"000")</f>
        <v>Ord-06-23-140</v>
      </c>
      <c r="D1038" s="6" t="s">
        <v>11</v>
      </c>
      <c r="E1038" s="10" t="s">
        <v>29</v>
      </c>
      <c r="F1038" s="10" t="s">
        <v>39</v>
      </c>
      <c r="G1038" s="10" t="s">
        <v>60</v>
      </c>
      <c r="H1038" s="10">
        <v>1500</v>
      </c>
      <c r="I1038" s="6">
        <v>5</v>
      </c>
      <c r="J1038" s="6">
        <f>H1038*I1038</f>
        <v>7500</v>
      </c>
    </row>
    <row r="1039" spans="2:10" ht="20.100000000000001" customHeight="1" x14ac:dyDescent="0.25">
      <c r="B1039" s="5">
        <v>45105</v>
      </c>
      <c r="C1039" s="8" t="str">
        <f>"Ord-06-23-"&amp;TEXT(ROW(C141),"000")</f>
        <v>Ord-06-23-141</v>
      </c>
      <c r="D1039" s="6" t="s">
        <v>7</v>
      </c>
      <c r="E1039" s="10" t="s">
        <v>32</v>
      </c>
      <c r="F1039" s="10" t="s">
        <v>51</v>
      </c>
      <c r="G1039" s="10" t="s">
        <v>70</v>
      </c>
      <c r="H1039" s="10">
        <v>2600</v>
      </c>
      <c r="I1039" s="6">
        <v>4</v>
      </c>
      <c r="J1039" s="6">
        <f>H1039*I1039</f>
        <v>10400</v>
      </c>
    </row>
    <row r="1040" spans="2:10" ht="20.100000000000001" customHeight="1" x14ac:dyDescent="0.25">
      <c r="B1040" s="5">
        <v>45105</v>
      </c>
      <c r="C1040" s="8" t="str">
        <f>"Ord-06-23-"&amp;TEXT(ROW(C142),"000")</f>
        <v>Ord-06-23-142</v>
      </c>
      <c r="D1040" s="6" t="s">
        <v>16</v>
      </c>
      <c r="E1040" s="10" t="s">
        <v>27</v>
      </c>
      <c r="F1040" s="10" t="s">
        <v>41</v>
      </c>
      <c r="G1040" s="10" t="s">
        <v>54</v>
      </c>
      <c r="H1040" s="10">
        <v>2800</v>
      </c>
      <c r="I1040" s="6">
        <v>1</v>
      </c>
      <c r="J1040" s="6">
        <f>H1040*I1040</f>
        <v>2800</v>
      </c>
    </row>
    <row r="1041" spans="2:10" ht="20.100000000000001" customHeight="1" x14ac:dyDescent="0.25">
      <c r="B1041" s="5">
        <v>45106</v>
      </c>
      <c r="C1041" s="8" t="str">
        <f>"Ord-06-23-"&amp;TEXT(ROW(C143),"000")</f>
        <v>Ord-06-23-143</v>
      </c>
      <c r="D1041" s="6" t="s">
        <v>25</v>
      </c>
      <c r="E1041" s="10" t="s">
        <v>29</v>
      </c>
      <c r="F1041" s="10" t="s">
        <v>39</v>
      </c>
      <c r="G1041" s="10" t="s">
        <v>56</v>
      </c>
      <c r="H1041" s="10">
        <v>2500</v>
      </c>
      <c r="I1041" s="6">
        <v>2</v>
      </c>
      <c r="J1041" s="6">
        <f>H1041*I1041</f>
        <v>5000</v>
      </c>
    </row>
    <row r="1042" spans="2:10" ht="20.100000000000001" customHeight="1" x14ac:dyDescent="0.25">
      <c r="B1042" s="5">
        <v>45106</v>
      </c>
      <c r="C1042" s="8" t="str">
        <f>"Ord-06-23-"&amp;TEXT(ROW(C144),"000")</f>
        <v>Ord-06-23-144</v>
      </c>
      <c r="D1042" s="6" t="s">
        <v>21</v>
      </c>
      <c r="E1042" s="10" t="s">
        <v>27</v>
      </c>
      <c r="F1042" s="10" t="s">
        <v>42</v>
      </c>
      <c r="G1042" s="10" t="s">
        <v>42</v>
      </c>
      <c r="H1042" s="10">
        <v>2500</v>
      </c>
      <c r="I1042" s="6">
        <v>3</v>
      </c>
      <c r="J1042" s="6">
        <f>H1042*I1042</f>
        <v>7500</v>
      </c>
    </row>
    <row r="1043" spans="2:10" ht="20.100000000000001" customHeight="1" x14ac:dyDescent="0.25">
      <c r="B1043" s="5">
        <v>45106</v>
      </c>
      <c r="C1043" s="8" t="str">
        <f>"Ord-06-23-"&amp;TEXT(ROW(C145),"000")</f>
        <v>Ord-06-23-145</v>
      </c>
      <c r="D1043" s="6" t="s">
        <v>13</v>
      </c>
      <c r="E1043" s="10" t="s">
        <v>34</v>
      </c>
      <c r="F1043" s="10" t="s">
        <v>49</v>
      </c>
      <c r="G1043" s="10" t="s">
        <v>75</v>
      </c>
      <c r="H1043" s="10">
        <v>4300</v>
      </c>
      <c r="I1043" s="6">
        <v>4</v>
      </c>
      <c r="J1043" s="6">
        <f>H1043*I1043</f>
        <v>17200</v>
      </c>
    </row>
    <row r="1044" spans="2:10" ht="20.100000000000001" customHeight="1" x14ac:dyDescent="0.25">
      <c r="B1044" s="5">
        <v>45106</v>
      </c>
      <c r="C1044" s="8" t="str">
        <f>"Ord-06-23-"&amp;TEXT(ROW(C146),"000")</f>
        <v>Ord-06-23-146</v>
      </c>
      <c r="D1044" s="6" t="s">
        <v>18</v>
      </c>
      <c r="E1044" s="10" t="s">
        <v>34</v>
      </c>
      <c r="F1044" s="10" t="s">
        <v>49</v>
      </c>
      <c r="G1044" s="10" t="s">
        <v>68</v>
      </c>
      <c r="H1044" s="10">
        <v>4000</v>
      </c>
      <c r="I1044" s="6">
        <v>1</v>
      </c>
      <c r="J1044" s="6">
        <f>H1044*I1044</f>
        <v>4000</v>
      </c>
    </row>
    <row r="1045" spans="2:10" ht="20.100000000000001" customHeight="1" x14ac:dyDescent="0.25">
      <c r="B1045" s="5">
        <v>45106</v>
      </c>
      <c r="C1045" s="8" t="str">
        <f>"Ord-06-23-"&amp;TEXT(ROW(C147),"000")</f>
        <v>Ord-06-23-147</v>
      </c>
      <c r="D1045" s="6" t="s">
        <v>8</v>
      </c>
      <c r="E1045" s="10" t="s">
        <v>27</v>
      </c>
      <c r="F1045" s="10" t="s">
        <v>50</v>
      </c>
      <c r="G1045" s="10" t="s">
        <v>64</v>
      </c>
      <c r="H1045" s="10">
        <v>3000</v>
      </c>
      <c r="I1045" s="6">
        <v>3</v>
      </c>
      <c r="J1045" s="6">
        <f>H1045*I1045</f>
        <v>9000</v>
      </c>
    </row>
    <row r="1046" spans="2:10" ht="20.100000000000001" customHeight="1" x14ac:dyDescent="0.25">
      <c r="B1046" s="5">
        <v>45107</v>
      </c>
      <c r="C1046" s="8" t="str">
        <f>"Ord-06-23-"&amp;TEXT(ROW(C148),"000")</f>
        <v>Ord-06-23-148</v>
      </c>
      <c r="D1046" s="6" t="s">
        <v>22</v>
      </c>
      <c r="E1046" s="10" t="s">
        <v>31</v>
      </c>
      <c r="F1046" s="10" t="s">
        <v>48</v>
      </c>
      <c r="G1046" s="10" t="s">
        <v>76</v>
      </c>
      <c r="H1046" s="10">
        <v>3500</v>
      </c>
      <c r="I1046" s="6">
        <v>3</v>
      </c>
      <c r="J1046" s="6">
        <f>H1046*I1046</f>
        <v>10500</v>
      </c>
    </row>
    <row r="1047" spans="2:10" ht="20.100000000000001" customHeight="1" x14ac:dyDescent="0.25">
      <c r="B1047" s="5">
        <v>45107</v>
      </c>
      <c r="C1047" s="8" t="str">
        <f>"Ord-06-23-"&amp;TEXT(ROW(C149),"000")</f>
        <v>Ord-06-23-149</v>
      </c>
      <c r="D1047" s="6" t="s">
        <v>26</v>
      </c>
      <c r="E1047" s="10" t="s">
        <v>33</v>
      </c>
      <c r="F1047" s="10" t="s">
        <v>46</v>
      </c>
      <c r="G1047" s="10" t="s">
        <v>65</v>
      </c>
      <c r="H1047" s="10">
        <v>15</v>
      </c>
      <c r="I1047" s="6">
        <v>300</v>
      </c>
      <c r="J1047" s="6">
        <f>H1047*I1047</f>
        <v>4500</v>
      </c>
    </row>
    <row r="1048" spans="2:10" ht="20.100000000000001" customHeight="1" x14ac:dyDescent="0.25">
      <c r="B1048" s="5">
        <v>45107</v>
      </c>
      <c r="C1048" s="8" t="str">
        <f>"Ord-06-23-"&amp;TEXT(ROW(C150),"000")</f>
        <v>Ord-06-23-150</v>
      </c>
      <c r="D1048" s="6" t="s">
        <v>10</v>
      </c>
      <c r="E1048" s="10" t="s">
        <v>27</v>
      </c>
      <c r="F1048" s="10" t="s">
        <v>42</v>
      </c>
      <c r="G1048" s="10" t="s">
        <v>42</v>
      </c>
      <c r="H1048" s="10">
        <v>2500</v>
      </c>
      <c r="I1048" s="6">
        <v>4</v>
      </c>
      <c r="J1048" s="6">
        <f>H1048*I1048</f>
        <v>10000</v>
      </c>
    </row>
    <row r="1049" spans="2:10" ht="20.100000000000001" customHeight="1" x14ac:dyDescent="0.25">
      <c r="B1049" s="5">
        <v>45107</v>
      </c>
      <c r="C1049" s="8" t="str">
        <f>"Ord-06-23-"&amp;TEXT(ROW(C151),"000")</f>
        <v>Ord-06-23-151</v>
      </c>
      <c r="D1049" s="6" t="s">
        <v>25</v>
      </c>
      <c r="E1049" s="10" t="s">
        <v>29</v>
      </c>
      <c r="F1049" s="10" t="s">
        <v>40</v>
      </c>
      <c r="G1049" s="10" t="s">
        <v>57</v>
      </c>
      <c r="H1049" s="10">
        <v>4000</v>
      </c>
      <c r="I1049" s="6">
        <v>4</v>
      </c>
      <c r="J1049" s="6">
        <f>H1049*I1049</f>
        <v>16000</v>
      </c>
    </row>
    <row r="1050" spans="2:10" ht="20.100000000000001" customHeight="1" x14ac:dyDescent="0.25">
      <c r="B1050" s="5">
        <v>45107</v>
      </c>
      <c r="C1050" s="8" t="str">
        <f>"Ord-06-23-"&amp;TEXT(ROW(C152),"000")</f>
        <v>Ord-06-23-152</v>
      </c>
      <c r="D1050" s="6" t="s">
        <v>16</v>
      </c>
      <c r="E1050" s="10" t="s">
        <v>27</v>
      </c>
      <c r="F1050" s="10" t="s">
        <v>41</v>
      </c>
      <c r="G1050" s="10" t="s">
        <v>53</v>
      </c>
      <c r="H1050" s="10">
        <v>3000</v>
      </c>
      <c r="I1050" s="6">
        <v>3</v>
      </c>
      <c r="J1050" s="6">
        <f>H1050*I1050</f>
        <v>9000</v>
      </c>
    </row>
    <row r="1051" spans="2:10" ht="20.100000000000001" customHeight="1" x14ac:dyDescent="0.25">
      <c r="B1051" s="5">
        <v>45108</v>
      </c>
      <c r="C1051" s="8" t="str">
        <f>"Ord-07-23-"&amp;TEXT(ROW(C1),"000")</f>
        <v>Ord-07-23-001</v>
      </c>
      <c r="D1051" s="6" t="s">
        <v>7</v>
      </c>
      <c r="E1051" s="10" t="s">
        <v>35</v>
      </c>
      <c r="F1051" s="12" t="s">
        <v>90</v>
      </c>
      <c r="G1051" s="10" t="s">
        <v>79</v>
      </c>
      <c r="H1051" s="10">
        <v>4800</v>
      </c>
      <c r="I1051" s="6">
        <v>4</v>
      </c>
      <c r="J1051" s="6">
        <f>H1051*I1051</f>
        <v>19200</v>
      </c>
    </row>
    <row r="1052" spans="2:10" ht="20.100000000000001" customHeight="1" x14ac:dyDescent="0.25">
      <c r="B1052" s="5">
        <v>45108</v>
      </c>
      <c r="C1052" s="8" t="str">
        <f>"Ord-07-23-"&amp;TEXT(ROW(C2),"000")</f>
        <v>Ord-07-23-002</v>
      </c>
      <c r="D1052" s="6" t="s">
        <v>21</v>
      </c>
      <c r="E1052" s="10" t="s">
        <v>32</v>
      </c>
      <c r="F1052" s="10" t="s">
        <v>51</v>
      </c>
      <c r="G1052" s="10" t="s">
        <v>70</v>
      </c>
      <c r="H1052" s="10">
        <v>2600</v>
      </c>
      <c r="I1052" s="6">
        <v>3</v>
      </c>
      <c r="J1052" s="6">
        <f>H1052*I1052</f>
        <v>7800</v>
      </c>
    </row>
    <row r="1053" spans="2:10" ht="20.100000000000001" customHeight="1" x14ac:dyDescent="0.25">
      <c r="B1053" s="5">
        <v>45108</v>
      </c>
      <c r="C1053" s="8" t="str">
        <f>"Ord-07-23-"&amp;TEXT(ROW(C3),"000")</f>
        <v>Ord-07-23-003</v>
      </c>
      <c r="D1053" s="6" t="s">
        <v>8</v>
      </c>
      <c r="E1053" s="10" t="s">
        <v>30</v>
      </c>
      <c r="F1053" s="10" t="s">
        <v>90</v>
      </c>
      <c r="G1053" s="10" t="s">
        <v>86</v>
      </c>
      <c r="H1053" s="10">
        <v>7500</v>
      </c>
      <c r="I1053" s="6">
        <v>1</v>
      </c>
      <c r="J1053" s="6">
        <f>H1053*I1053</f>
        <v>7500</v>
      </c>
    </row>
    <row r="1054" spans="2:10" ht="20.100000000000001" customHeight="1" x14ac:dyDescent="0.25">
      <c r="B1054" s="5">
        <v>45108</v>
      </c>
      <c r="C1054" s="8" t="str">
        <f>"Ord-07-23-"&amp;TEXT(ROW(C4),"000")</f>
        <v>Ord-07-23-004</v>
      </c>
      <c r="D1054" s="6" t="s">
        <v>11</v>
      </c>
      <c r="E1054" s="10" t="s">
        <v>27</v>
      </c>
      <c r="F1054" s="10" t="s">
        <v>50</v>
      </c>
      <c r="G1054" s="10" t="s">
        <v>64</v>
      </c>
      <c r="H1054" s="10">
        <v>3000</v>
      </c>
      <c r="I1054" s="6">
        <v>4</v>
      </c>
      <c r="J1054" s="6">
        <f>H1054*I1054</f>
        <v>12000</v>
      </c>
    </row>
    <row r="1055" spans="2:10" ht="20.100000000000001" customHeight="1" x14ac:dyDescent="0.25">
      <c r="B1055" s="5">
        <v>45108</v>
      </c>
      <c r="C1055" s="8" t="str">
        <f>"Ord-07-23-"&amp;TEXT(ROW(C5),"000")</f>
        <v>Ord-07-23-005</v>
      </c>
      <c r="D1055" s="6" t="s">
        <v>23</v>
      </c>
      <c r="E1055" s="10" t="s">
        <v>27</v>
      </c>
      <c r="F1055" s="10" t="s">
        <v>41</v>
      </c>
      <c r="G1055" s="10" t="s">
        <v>54</v>
      </c>
      <c r="H1055" s="10">
        <v>2800</v>
      </c>
      <c r="I1055" s="6">
        <v>1</v>
      </c>
      <c r="J1055" s="6">
        <f>H1055*I1055</f>
        <v>2800</v>
      </c>
    </row>
    <row r="1056" spans="2:10" ht="20.100000000000001" customHeight="1" x14ac:dyDescent="0.25">
      <c r="B1056" s="5">
        <v>45109</v>
      </c>
      <c r="C1056" s="8" t="str">
        <f>"Ord-07-23-"&amp;TEXT(ROW(C6),"000")</f>
        <v>Ord-07-23-006</v>
      </c>
      <c r="D1056" s="6" t="s">
        <v>8</v>
      </c>
      <c r="E1056" s="10" t="s">
        <v>32</v>
      </c>
      <c r="F1056" s="10" t="s">
        <v>44</v>
      </c>
      <c r="G1056" s="10" t="s">
        <v>72</v>
      </c>
      <c r="H1056" s="10">
        <v>2200</v>
      </c>
      <c r="I1056" s="6">
        <v>4</v>
      </c>
      <c r="J1056" s="6">
        <f>H1056*I1056</f>
        <v>8800</v>
      </c>
    </row>
    <row r="1057" spans="2:10" ht="20.100000000000001" customHeight="1" x14ac:dyDescent="0.25">
      <c r="B1057" s="5">
        <v>45109</v>
      </c>
      <c r="C1057" s="8" t="str">
        <f>"Ord-07-23-"&amp;TEXT(ROW(C7),"000")</f>
        <v>Ord-07-23-007</v>
      </c>
      <c r="D1057" s="6" t="s">
        <v>17</v>
      </c>
      <c r="E1057" s="10" t="s">
        <v>31</v>
      </c>
      <c r="F1057" s="10" t="s">
        <v>43</v>
      </c>
      <c r="G1057" s="10" t="s">
        <v>63</v>
      </c>
      <c r="H1057" s="10">
        <v>4200</v>
      </c>
      <c r="I1057" s="6">
        <v>3</v>
      </c>
      <c r="J1057" s="6">
        <f>H1057*I1057</f>
        <v>12600</v>
      </c>
    </row>
    <row r="1058" spans="2:10" ht="20.100000000000001" customHeight="1" x14ac:dyDescent="0.25">
      <c r="B1058" s="5">
        <v>45109</v>
      </c>
      <c r="C1058" s="8" t="str">
        <f>"Ord-07-23-"&amp;TEXT(ROW(C8),"000")</f>
        <v>Ord-07-23-008</v>
      </c>
      <c r="D1058" s="6" t="s">
        <v>9</v>
      </c>
      <c r="E1058" s="10" t="s">
        <v>36</v>
      </c>
      <c r="F1058" s="10" t="s">
        <v>36</v>
      </c>
      <c r="G1058" s="10" t="s">
        <v>41</v>
      </c>
      <c r="H1058" s="10">
        <v>2000</v>
      </c>
      <c r="I1058" s="6">
        <v>3</v>
      </c>
      <c r="J1058" s="6">
        <f>H1058*I1058</f>
        <v>6000</v>
      </c>
    </row>
    <row r="1059" spans="2:10" ht="20.100000000000001" customHeight="1" x14ac:dyDescent="0.25">
      <c r="B1059" s="5">
        <v>45109</v>
      </c>
      <c r="C1059" s="8" t="str">
        <f>"Ord-07-23-"&amp;TEXT(ROW(C9),"000")</f>
        <v>Ord-07-23-009</v>
      </c>
      <c r="D1059" s="6" t="s">
        <v>15</v>
      </c>
      <c r="E1059" s="10" t="s">
        <v>27</v>
      </c>
      <c r="F1059" s="10" t="s">
        <v>38</v>
      </c>
      <c r="G1059" s="10" t="s">
        <v>53</v>
      </c>
      <c r="H1059" s="10">
        <v>5500</v>
      </c>
      <c r="I1059" s="6">
        <v>1</v>
      </c>
      <c r="J1059" s="6">
        <f>H1059*I1059</f>
        <v>5500</v>
      </c>
    </row>
    <row r="1060" spans="2:10" ht="20.100000000000001" customHeight="1" x14ac:dyDescent="0.25">
      <c r="B1060" s="5">
        <v>45109</v>
      </c>
      <c r="C1060" s="8" t="str">
        <f>"Ord-07-23-"&amp;TEXT(ROW(C10),"000")</f>
        <v>Ord-07-23-010</v>
      </c>
      <c r="D1060" s="6" t="s">
        <v>17</v>
      </c>
      <c r="E1060" s="10" t="s">
        <v>27</v>
      </c>
      <c r="F1060" s="10" t="s">
        <v>37</v>
      </c>
      <c r="G1060" s="10" t="s">
        <v>64</v>
      </c>
      <c r="H1060" s="10">
        <v>4500</v>
      </c>
      <c r="I1060" s="6">
        <v>2</v>
      </c>
      <c r="J1060" s="6">
        <f>H1060*I1060</f>
        <v>9000</v>
      </c>
    </row>
    <row r="1061" spans="2:10" ht="20.100000000000001" customHeight="1" x14ac:dyDescent="0.25">
      <c r="B1061" s="5">
        <v>45110</v>
      </c>
      <c r="C1061" s="8" t="str">
        <f>"Ord-07-23-"&amp;TEXT(ROW(C11),"000")</f>
        <v>Ord-07-23-011</v>
      </c>
      <c r="D1061" s="6" t="s">
        <v>25</v>
      </c>
      <c r="E1061" s="10" t="s">
        <v>32</v>
      </c>
      <c r="F1061" s="10" t="s">
        <v>44</v>
      </c>
      <c r="G1061" s="10" t="s">
        <v>74</v>
      </c>
      <c r="H1061" s="10">
        <v>1800</v>
      </c>
      <c r="I1061" s="6">
        <v>5</v>
      </c>
      <c r="J1061" s="6">
        <f>H1061*I1061</f>
        <v>9000</v>
      </c>
    </row>
    <row r="1062" spans="2:10" ht="20.100000000000001" customHeight="1" x14ac:dyDescent="0.25">
      <c r="B1062" s="5">
        <v>45110</v>
      </c>
      <c r="C1062" s="8" t="str">
        <f>"Ord-07-23-"&amp;TEXT(ROW(C12),"000")</f>
        <v>Ord-07-23-012</v>
      </c>
      <c r="D1062" s="6" t="s">
        <v>21</v>
      </c>
      <c r="E1062" s="10" t="s">
        <v>33</v>
      </c>
      <c r="F1062" s="10" t="s">
        <v>46</v>
      </c>
      <c r="G1062" s="10" t="s">
        <v>65</v>
      </c>
      <c r="H1062" s="10">
        <v>15</v>
      </c>
      <c r="I1062" s="6">
        <v>500</v>
      </c>
      <c r="J1062" s="6">
        <f>H1062*I1062</f>
        <v>7500</v>
      </c>
    </row>
    <row r="1063" spans="2:10" ht="20.100000000000001" customHeight="1" x14ac:dyDescent="0.25">
      <c r="B1063" s="5">
        <v>45110</v>
      </c>
      <c r="C1063" s="8" t="str">
        <f>"Ord-07-23-"&amp;TEXT(ROW(C13),"000")</f>
        <v>Ord-07-23-013</v>
      </c>
      <c r="D1063" s="6" t="s">
        <v>10</v>
      </c>
      <c r="E1063" s="10" t="s">
        <v>31</v>
      </c>
      <c r="F1063" s="10" t="s">
        <v>48</v>
      </c>
      <c r="G1063" s="10" t="s">
        <v>69</v>
      </c>
      <c r="H1063" s="10">
        <v>3500</v>
      </c>
      <c r="I1063" s="6">
        <v>5</v>
      </c>
      <c r="J1063" s="6">
        <f>H1063*I1063</f>
        <v>17500</v>
      </c>
    </row>
    <row r="1064" spans="2:10" ht="20.100000000000001" customHeight="1" x14ac:dyDescent="0.25">
      <c r="B1064" s="5">
        <v>45110</v>
      </c>
      <c r="C1064" s="8" t="str">
        <f>"Ord-07-23-"&amp;TEXT(ROW(C14),"000")</f>
        <v>Ord-07-23-014</v>
      </c>
      <c r="D1064" s="6" t="s">
        <v>26</v>
      </c>
      <c r="E1064" s="10" t="s">
        <v>29</v>
      </c>
      <c r="F1064" s="10" t="s">
        <v>40</v>
      </c>
      <c r="G1064" s="10" t="s">
        <v>57</v>
      </c>
      <c r="H1064" s="10">
        <v>4000</v>
      </c>
      <c r="I1064" s="6">
        <v>2</v>
      </c>
      <c r="J1064" s="6">
        <f>H1064*I1064</f>
        <v>8000</v>
      </c>
    </row>
    <row r="1065" spans="2:10" ht="20.100000000000001" customHeight="1" x14ac:dyDescent="0.25">
      <c r="B1065" s="5">
        <v>45110</v>
      </c>
      <c r="C1065" s="8" t="str">
        <f>"Ord-07-23-"&amp;TEXT(ROW(C15),"000")</f>
        <v>Ord-07-23-015</v>
      </c>
      <c r="D1065" s="6" t="s">
        <v>11</v>
      </c>
      <c r="E1065" s="10" t="s">
        <v>27</v>
      </c>
      <c r="F1065" s="10" t="s">
        <v>41</v>
      </c>
      <c r="G1065" s="10" t="s">
        <v>64</v>
      </c>
      <c r="H1065" s="10">
        <v>2500</v>
      </c>
      <c r="I1065" s="6">
        <v>1</v>
      </c>
      <c r="J1065" s="6">
        <f>H1065*I1065</f>
        <v>2500</v>
      </c>
    </row>
    <row r="1066" spans="2:10" ht="20.100000000000001" customHeight="1" x14ac:dyDescent="0.25">
      <c r="B1066" s="5">
        <v>45111</v>
      </c>
      <c r="C1066" s="8" t="str">
        <f>"Ord-07-23-"&amp;TEXT(ROW(C16),"000")</f>
        <v>Ord-07-23-016</v>
      </c>
      <c r="D1066" s="6" t="s">
        <v>23</v>
      </c>
      <c r="E1066" s="10" t="s">
        <v>35</v>
      </c>
      <c r="F1066" s="12" t="s">
        <v>90</v>
      </c>
      <c r="G1066" s="10" t="s">
        <v>79</v>
      </c>
      <c r="H1066" s="10">
        <v>4800</v>
      </c>
      <c r="I1066" s="6">
        <v>1</v>
      </c>
      <c r="J1066" s="6">
        <f>H1066*I1066</f>
        <v>4800</v>
      </c>
    </row>
    <row r="1067" spans="2:10" ht="20.100000000000001" customHeight="1" x14ac:dyDescent="0.25">
      <c r="B1067" s="5">
        <v>45111</v>
      </c>
      <c r="C1067" s="8" t="str">
        <f>"Ord-07-23-"&amp;TEXT(ROW(C17),"000")</f>
        <v>Ord-07-23-017</v>
      </c>
      <c r="D1067" s="6" t="s">
        <v>14</v>
      </c>
      <c r="E1067" s="10" t="s">
        <v>28</v>
      </c>
      <c r="F1067" s="10" t="s">
        <v>28</v>
      </c>
      <c r="G1067" s="10" t="s">
        <v>71</v>
      </c>
      <c r="H1067" s="10">
        <v>850</v>
      </c>
      <c r="I1067" s="6">
        <v>1</v>
      </c>
      <c r="J1067" s="6">
        <f>H1067*I1067</f>
        <v>850</v>
      </c>
    </row>
    <row r="1068" spans="2:10" ht="20.100000000000001" customHeight="1" x14ac:dyDescent="0.25">
      <c r="B1068" s="5">
        <v>45111</v>
      </c>
      <c r="C1068" s="8" t="str">
        <f>"Ord-07-23-"&amp;TEXT(ROW(C18),"000")</f>
        <v>Ord-07-23-018</v>
      </c>
      <c r="D1068" s="6" t="s">
        <v>12</v>
      </c>
      <c r="E1068" s="10" t="s">
        <v>28</v>
      </c>
      <c r="F1068" s="10" t="s">
        <v>28</v>
      </c>
      <c r="G1068" s="10" t="s">
        <v>77</v>
      </c>
      <c r="H1068" s="10">
        <v>1200</v>
      </c>
      <c r="I1068" s="6">
        <v>5</v>
      </c>
      <c r="J1068" s="6">
        <f>H1068*I1068</f>
        <v>6000</v>
      </c>
    </row>
    <row r="1069" spans="2:10" ht="20.100000000000001" customHeight="1" x14ac:dyDescent="0.25">
      <c r="B1069" s="5">
        <v>45111</v>
      </c>
      <c r="C1069" s="8" t="str">
        <f>"Ord-07-23-"&amp;TEXT(ROW(C19),"000")</f>
        <v>Ord-07-23-019</v>
      </c>
      <c r="D1069" s="6" t="s">
        <v>12</v>
      </c>
      <c r="E1069" s="10" t="s">
        <v>31</v>
      </c>
      <c r="F1069" s="10" t="s">
        <v>52</v>
      </c>
      <c r="G1069" s="10" t="s">
        <v>82</v>
      </c>
      <c r="H1069" s="10">
        <v>5000</v>
      </c>
      <c r="I1069" s="6">
        <v>1</v>
      </c>
      <c r="J1069" s="6">
        <f>H1069*I1069</f>
        <v>5000</v>
      </c>
    </row>
    <row r="1070" spans="2:10" ht="20.100000000000001" customHeight="1" x14ac:dyDescent="0.25">
      <c r="B1070" s="5">
        <v>45111</v>
      </c>
      <c r="C1070" s="8" t="str">
        <f>"Ord-07-23-"&amp;TEXT(ROW(C20),"000")</f>
        <v>Ord-07-23-020</v>
      </c>
      <c r="D1070" s="6" t="s">
        <v>9</v>
      </c>
      <c r="E1070" s="10" t="s">
        <v>29</v>
      </c>
      <c r="F1070" s="10" t="s">
        <v>40</v>
      </c>
      <c r="G1070" s="10" t="s">
        <v>57</v>
      </c>
      <c r="H1070" s="10">
        <v>4000</v>
      </c>
      <c r="I1070" s="6">
        <v>3</v>
      </c>
      <c r="J1070" s="6">
        <f>H1070*I1070</f>
        <v>12000</v>
      </c>
    </row>
    <row r="1071" spans="2:10" ht="20.100000000000001" customHeight="1" x14ac:dyDescent="0.25">
      <c r="B1071" s="5">
        <v>45112</v>
      </c>
      <c r="C1071" s="8" t="str">
        <f>"Ord-07-23-"&amp;TEXT(ROW(C21),"000")</f>
        <v>Ord-07-23-021</v>
      </c>
      <c r="D1071" s="6" t="s">
        <v>22</v>
      </c>
      <c r="E1071" s="10" t="s">
        <v>28</v>
      </c>
      <c r="F1071" s="10" t="s">
        <v>28</v>
      </c>
      <c r="G1071" s="10" t="s">
        <v>79</v>
      </c>
      <c r="H1071" s="10">
        <v>600</v>
      </c>
      <c r="I1071" s="6">
        <v>4</v>
      </c>
      <c r="J1071" s="6">
        <f>H1071*I1071</f>
        <v>2400</v>
      </c>
    </row>
    <row r="1072" spans="2:10" ht="20.100000000000001" customHeight="1" x14ac:dyDescent="0.25">
      <c r="B1072" s="5">
        <v>45112</v>
      </c>
      <c r="C1072" s="8" t="str">
        <f>"Ord-07-23-"&amp;TEXT(ROW(C22),"000")</f>
        <v>Ord-07-23-022</v>
      </c>
      <c r="D1072" s="6" t="s">
        <v>20</v>
      </c>
      <c r="E1072" s="10" t="s">
        <v>31</v>
      </c>
      <c r="F1072" s="10" t="s">
        <v>48</v>
      </c>
      <c r="G1072" s="10" t="s">
        <v>66</v>
      </c>
      <c r="H1072" s="10">
        <v>3500</v>
      </c>
      <c r="I1072" s="6">
        <v>4</v>
      </c>
      <c r="J1072" s="6">
        <f>H1072*I1072</f>
        <v>14000</v>
      </c>
    </row>
    <row r="1073" spans="2:10" ht="20.100000000000001" customHeight="1" x14ac:dyDescent="0.25">
      <c r="B1073" s="5">
        <v>45112</v>
      </c>
      <c r="C1073" s="8" t="str">
        <f>"Ord-07-23-"&amp;TEXT(ROW(C23),"000")</f>
        <v>Ord-07-23-023</v>
      </c>
      <c r="D1073" s="6" t="s">
        <v>15</v>
      </c>
      <c r="E1073" s="10" t="s">
        <v>29</v>
      </c>
      <c r="F1073" s="10" t="s">
        <v>40</v>
      </c>
      <c r="G1073" s="10" t="s">
        <v>84</v>
      </c>
      <c r="H1073" s="10">
        <v>7500</v>
      </c>
      <c r="I1073" s="6">
        <v>4</v>
      </c>
      <c r="J1073" s="6">
        <f>H1073*I1073</f>
        <v>30000</v>
      </c>
    </row>
    <row r="1074" spans="2:10" ht="20.100000000000001" customHeight="1" x14ac:dyDescent="0.25">
      <c r="B1074" s="5">
        <v>45112</v>
      </c>
      <c r="C1074" s="8" t="str">
        <f>"Ord-07-23-"&amp;TEXT(ROW(C24),"000")</f>
        <v>Ord-07-23-024</v>
      </c>
      <c r="D1074" s="6" t="s">
        <v>16</v>
      </c>
      <c r="E1074" s="10" t="s">
        <v>27</v>
      </c>
      <c r="F1074" s="10" t="s">
        <v>37</v>
      </c>
      <c r="G1074" s="10" t="s">
        <v>64</v>
      </c>
      <c r="H1074" s="10">
        <v>4500</v>
      </c>
      <c r="I1074" s="6">
        <v>4</v>
      </c>
      <c r="J1074" s="6">
        <f>H1074*I1074</f>
        <v>18000</v>
      </c>
    </row>
    <row r="1075" spans="2:10" ht="20.100000000000001" customHeight="1" x14ac:dyDescent="0.25">
      <c r="B1075" s="5">
        <v>45112</v>
      </c>
      <c r="C1075" s="8" t="str">
        <f>"Ord-07-23-"&amp;TEXT(ROW(C25),"000")</f>
        <v>Ord-07-23-025</v>
      </c>
      <c r="D1075" s="6" t="s">
        <v>23</v>
      </c>
      <c r="E1075" s="10" t="s">
        <v>34</v>
      </c>
      <c r="F1075" s="10" t="s">
        <v>49</v>
      </c>
      <c r="G1075" s="10" t="s">
        <v>75</v>
      </c>
      <c r="H1075" s="10">
        <v>4300</v>
      </c>
      <c r="I1075" s="6">
        <v>1</v>
      </c>
      <c r="J1075" s="6">
        <f>H1075*I1075</f>
        <v>4300</v>
      </c>
    </row>
    <row r="1076" spans="2:10" ht="20.100000000000001" customHeight="1" x14ac:dyDescent="0.25">
      <c r="B1076" s="5">
        <v>45113</v>
      </c>
      <c r="C1076" s="8" t="str">
        <f>"Ord-07-23-"&amp;TEXT(ROW(C26),"000")</f>
        <v>Ord-07-23-026</v>
      </c>
      <c r="D1076" s="6" t="s">
        <v>19</v>
      </c>
      <c r="E1076" s="10" t="s">
        <v>28</v>
      </c>
      <c r="F1076" s="10" t="s">
        <v>28</v>
      </c>
      <c r="G1076" s="10" t="s">
        <v>58</v>
      </c>
      <c r="H1076" s="10">
        <v>1000</v>
      </c>
      <c r="I1076" s="6">
        <v>1</v>
      </c>
      <c r="J1076" s="6">
        <f>H1076*I1076</f>
        <v>1000</v>
      </c>
    </row>
    <row r="1077" spans="2:10" ht="20.100000000000001" customHeight="1" x14ac:dyDescent="0.25">
      <c r="B1077" s="5">
        <v>45113</v>
      </c>
      <c r="C1077" s="8" t="str">
        <f>"Ord-07-23-"&amp;TEXT(ROW(C27),"000")</f>
        <v>Ord-07-23-027</v>
      </c>
      <c r="D1077" s="6" t="s">
        <v>26</v>
      </c>
      <c r="E1077" s="10" t="s">
        <v>29</v>
      </c>
      <c r="F1077" s="10" t="s">
        <v>40</v>
      </c>
      <c r="G1077" s="10" t="s">
        <v>84</v>
      </c>
      <c r="H1077" s="10">
        <v>7500</v>
      </c>
      <c r="I1077" s="6">
        <v>3</v>
      </c>
      <c r="J1077" s="6">
        <f>H1077*I1077</f>
        <v>22500</v>
      </c>
    </row>
    <row r="1078" spans="2:10" ht="20.100000000000001" customHeight="1" x14ac:dyDescent="0.25">
      <c r="B1078" s="5">
        <v>45113</v>
      </c>
      <c r="C1078" s="8" t="str">
        <f>"Ord-07-23-"&amp;TEXT(ROW(C28),"000")</f>
        <v>Ord-07-23-028</v>
      </c>
      <c r="D1078" s="6" t="s">
        <v>8</v>
      </c>
      <c r="E1078" s="10" t="s">
        <v>27</v>
      </c>
      <c r="F1078" s="10" t="s">
        <v>41</v>
      </c>
      <c r="G1078" s="10" t="s">
        <v>53</v>
      </c>
      <c r="H1078" s="10">
        <v>3000</v>
      </c>
      <c r="I1078" s="6">
        <v>5</v>
      </c>
      <c r="J1078" s="6">
        <f>H1078*I1078</f>
        <v>15000</v>
      </c>
    </row>
    <row r="1079" spans="2:10" ht="20.100000000000001" customHeight="1" x14ac:dyDescent="0.25">
      <c r="B1079" s="5">
        <v>45113</v>
      </c>
      <c r="C1079" s="8" t="str">
        <f>"Ord-07-23-"&amp;TEXT(ROW(C29),"000")</f>
        <v>Ord-07-23-029</v>
      </c>
      <c r="D1079" s="6" t="s">
        <v>15</v>
      </c>
      <c r="E1079" s="10" t="s">
        <v>27</v>
      </c>
      <c r="F1079" s="10" t="s">
        <v>41</v>
      </c>
      <c r="G1079" s="10" t="s">
        <v>53</v>
      </c>
      <c r="H1079" s="10">
        <v>3000</v>
      </c>
      <c r="I1079" s="6">
        <v>3</v>
      </c>
      <c r="J1079" s="6">
        <f>H1079*I1079</f>
        <v>9000</v>
      </c>
    </row>
    <row r="1080" spans="2:10" ht="20.100000000000001" customHeight="1" x14ac:dyDescent="0.25">
      <c r="B1080" s="5">
        <v>45113</v>
      </c>
      <c r="C1080" s="8" t="str">
        <f>"Ord-07-23-"&amp;TEXT(ROW(C30),"000")</f>
        <v>Ord-07-23-030</v>
      </c>
      <c r="D1080" s="6" t="s">
        <v>24</v>
      </c>
      <c r="E1080" s="10" t="s">
        <v>34</v>
      </c>
      <c r="F1080" s="10" t="s">
        <v>49</v>
      </c>
      <c r="G1080" s="10" t="s">
        <v>68</v>
      </c>
      <c r="H1080" s="10">
        <v>4000</v>
      </c>
      <c r="I1080" s="6">
        <v>3</v>
      </c>
      <c r="J1080" s="6">
        <f>H1080*I1080</f>
        <v>12000</v>
      </c>
    </row>
    <row r="1081" spans="2:10" ht="20.100000000000001" customHeight="1" x14ac:dyDescent="0.25">
      <c r="B1081" s="4">
        <v>45114</v>
      </c>
      <c r="C1081" s="8" t="str">
        <f>"Ord-07-23-"&amp;TEXT(ROW(C31),"000")</f>
        <v>Ord-07-23-031</v>
      </c>
      <c r="D1081" s="6" t="s">
        <v>14</v>
      </c>
      <c r="E1081" s="10" t="s">
        <v>28</v>
      </c>
      <c r="F1081" s="10" t="s">
        <v>28</v>
      </c>
      <c r="G1081" s="10" t="s">
        <v>71</v>
      </c>
      <c r="H1081" s="13">
        <v>850</v>
      </c>
      <c r="I1081" s="7">
        <v>5</v>
      </c>
      <c r="J1081" s="6">
        <f>H1081*I1081</f>
        <v>4250</v>
      </c>
    </row>
    <row r="1082" spans="2:10" ht="20.100000000000001" customHeight="1" x14ac:dyDescent="0.25">
      <c r="B1082" s="4">
        <v>45114</v>
      </c>
      <c r="C1082" s="8" t="str">
        <f>"Ord-07-23-"&amp;TEXT(ROW(C32),"000")</f>
        <v>Ord-07-23-032</v>
      </c>
      <c r="D1082" s="6" t="s">
        <v>22</v>
      </c>
      <c r="E1082" s="10" t="s">
        <v>32</v>
      </c>
      <c r="F1082" s="10" t="s">
        <v>51</v>
      </c>
      <c r="G1082" s="10" t="s">
        <v>72</v>
      </c>
      <c r="H1082" s="13">
        <v>2200</v>
      </c>
      <c r="I1082" s="7">
        <v>4</v>
      </c>
      <c r="J1082" s="6">
        <f>H1082*I1082</f>
        <v>8800</v>
      </c>
    </row>
    <row r="1083" spans="2:10" ht="20.100000000000001" customHeight="1" x14ac:dyDescent="0.25">
      <c r="B1083" s="4">
        <v>45114</v>
      </c>
      <c r="C1083" s="8" t="str">
        <f>"Ord-07-23-"&amp;TEXT(ROW(C33),"000")</f>
        <v>Ord-07-23-033</v>
      </c>
      <c r="D1083" s="6" t="s">
        <v>25</v>
      </c>
      <c r="E1083" s="10" t="s">
        <v>31</v>
      </c>
      <c r="F1083" s="10" t="s">
        <v>52</v>
      </c>
      <c r="G1083" s="10" t="s">
        <v>67</v>
      </c>
      <c r="H1083" s="13">
        <v>4000</v>
      </c>
      <c r="I1083" s="7">
        <v>2</v>
      </c>
      <c r="J1083" s="6">
        <f>H1083*I1083</f>
        <v>8000</v>
      </c>
    </row>
    <row r="1084" spans="2:10" ht="20.100000000000001" customHeight="1" x14ac:dyDescent="0.25">
      <c r="B1084" s="4">
        <v>45114</v>
      </c>
      <c r="C1084" s="8" t="str">
        <f>"Ord-07-23-"&amp;TEXT(ROW(C34),"000")</f>
        <v>Ord-07-23-034</v>
      </c>
      <c r="D1084" s="6" t="s">
        <v>7</v>
      </c>
      <c r="E1084" s="10" t="s">
        <v>29</v>
      </c>
      <c r="F1084" s="10" t="s">
        <v>39</v>
      </c>
      <c r="G1084" s="10" t="s">
        <v>56</v>
      </c>
      <c r="H1084" s="13">
        <v>2500</v>
      </c>
      <c r="I1084" s="7">
        <v>3</v>
      </c>
      <c r="J1084" s="6">
        <f>H1084*I1084</f>
        <v>7500</v>
      </c>
    </row>
    <row r="1085" spans="2:10" ht="20.100000000000001" customHeight="1" x14ac:dyDescent="0.25">
      <c r="B1085" s="4">
        <v>45114</v>
      </c>
      <c r="C1085" s="8" t="str">
        <f>"Ord-07-23-"&amp;TEXT(ROW(C35),"000")</f>
        <v>Ord-07-23-035</v>
      </c>
      <c r="D1085" s="6" t="s">
        <v>16</v>
      </c>
      <c r="E1085" s="10" t="s">
        <v>27</v>
      </c>
      <c r="F1085" s="10" t="s">
        <v>37</v>
      </c>
      <c r="G1085" s="10" t="s">
        <v>64</v>
      </c>
      <c r="H1085" s="13">
        <v>4500</v>
      </c>
      <c r="I1085" s="7">
        <v>2</v>
      </c>
      <c r="J1085" s="6">
        <f>H1085*I1085</f>
        <v>9000</v>
      </c>
    </row>
    <row r="1086" spans="2:10" ht="20.100000000000001" customHeight="1" x14ac:dyDescent="0.25">
      <c r="B1086" s="5">
        <v>45115</v>
      </c>
      <c r="C1086" s="8" t="str">
        <f>"Ord-07-23-"&amp;TEXT(ROW(C36),"000")</f>
        <v>Ord-07-23-036</v>
      </c>
      <c r="D1086" s="6" t="s">
        <v>15</v>
      </c>
      <c r="E1086" s="10" t="s">
        <v>33</v>
      </c>
      <c r="F1086" s="10" t="s">
        <v>46</v>
      </c>
      <c r="G1086" s="10" t="s">
        <v>65</v>
      </c>
      <c r="H1086" s="10">
        <v>15</v>
      </c>
      <c r="I1086" s="6">
        <v>200</v>
      </c>
      <c r="J1086" s="6">
        <f>H1086*I1086</f>
        <v>3000</v>
      </c>
    </row>
    <row r="1087" spans="2:10" ht="20.100000000000001" customHeight="1" x14ac:dyDescent="0.25">
      <c r="B1087" s="5">
        <v>45115</v>
      </c>
      <c r="C1087" s="8" t="str">
        <f>"Ord-07-23-"&amp;TEXT(ROW(C37),"000")</f>
        <v>Ord-07-23-037</v>
      </c>
      <c r="D1087" s="6" t="s">
        <v>11</v>
      </c>
      <c r="E1087" s="10" t="s">
        <v>31</v>
      </c>
      <c r="F1087" s="10" t="s">
        <v>48</v>
      </c>
      <c r="G1087" s="10" t="s">
        <v>82</v>
      </c>
      <c r="H1087" s="10">
        <v>8500</v>
      </c>
      <c r="I1087" s="6">
        <v>2</v>
      </c>
      <c r="J1087" s="6">
        <f>H1087*I1087</f>
        <v>17000</v>
      </c>
    </row>
    <row r="1088" spans="2:10" ht="20.100000000000001" customHeight="1" x14ac:dyDescent="0.25">
      <c r="B1088" s="5">
        <v>45115</v>
      </c>
      <c r="C1088" s="8" t="str">
        <f>"Ord-07-23-"&amp;TEXT(ROW(C38),"000")</f>
        <v>Ord-07-23-038</v>
      </c>
      <c r="D1088" s="6" t="s">
        <v>24</v>
      </c>
      <c r="E1088" s="10" t="s">
        <v>31</v>
      </c>
      <c r="F1088" s="10" t="s">
        <v>48</v>
      </c>
      <c r="G1088" s="10" t="s">
        <v>82</v>
      </c>
      <c r="H1088" s="10">
        <v>8500</v>
      </c>
      <c r="I1088" s="6">
        <v>3</v>
      </c>
      <c r="J1088" s="6">
        <f>H1088*I1088</f>
        <v>25500</v>
      </c>
    </row>
    <row r="1089" spans="2:10" ht="20.100000000000001" customHeight="1" x14ac:dyDescent="0.25">
      <c r="B1089" s="5">
        <v>45115</v>
      </c>
      <c r="C1089" s="8" t="str">
        <f>"Ord-07-23-"&amp;TEXT(ROW(C39),"000")</f>
        <v>Ord-07-23-039</v>
      </c>
      <c r="D1089" s="6" t="s">
        <v>8</v>
      </c>
      <c r="E1089" s="10" t="s">
        <v>31</v>
      </c>
      <c r="F1089" s="10" t="s">
        <v>48</v>
      </c>
      <c r="G1089" s="10" t="s">
        <v>73</v>
      </c>
      <c r="H1089" s="10">
        <v>1600</v>
      </c>
      <c r="I1089" s="6">
        <v>4</v>
      </c>
      <c r="J1089" s="6">
        <f>H1089*I1089</f>
        <v>6400</v>
      </c>
    </row>
    <row r="1090" spans="2:10" ht="20.100000000000001" customHeight="1" x14ac:dyDescent="0.25">
      <c r="B1090" s="5">
        <v>45115</v>
      </c>
      <c r="C1090" s="8" t="str">
        <f>"Ord-07-23-"&amp;TEXT(ROW(C40),"000")</f>
        <v>Ord-07-23-040</v>
      </c>
      <c r="D1090" s="6" t="s">
        <v>8</v>
      </c>
      <c r="E1090" s="10" t="s">
        <v>27</v>
      </c>
      <c r="F1090" s="10" t="s">
        <v>38</v>
      </c>
      <c r="G1090" s="10" t="s">
        <v>54</v>
      </c>
      <c r="H1090" s="10">
        <v>5200</v>
      </c>
      <c r="I1090" s="6">
        <v>2</v>
      </c>
      <c r="J1090" s="6">
        <f>H1090*I1090</f>
        <v>10400</v>
      </c>
    </row>
    <row r="1091" spans="2:10" ht="20.100000000000001" customHeight="1" x14ac:dyDescent="0.25">
      <c r="B1091" s="5">
        <v>45116</v>
      </c>
      <c r="C1091" s="8" t="str">
        <f>"Ord-07-23-"&amp;TEXT(ROW(C41),"000")</f>
        <v>Ord-07-23-041</v>
      </c>
      <c r="D1091" s="6" t="s">
        <v>26</v>
      </c>
      <c r="E1091" s="10" t="s">
        <v>31</v>
      </c>
      <c r="F1091" s="10" t="s">
        <v>43</v>
      </c>
      <c r="G1091" s="10" t="s">
        <v>61</v>
      </c>
      <c r="H1091" s="10">
        <v>18000</v>
      </c>
      <c r="I1091" s="6">
        <v>5</v>
      </c>
      <c r="J1091" s="6">
        <f>H1091*I1091</f>
        <v>90000</v>
      </c>
    </row>
    <row r="1092" spans="2:10" ht="20.100000000000001" customHeight="1" x14ac:dyDescent="0.25">
      <c r="B1092" s="5">
        <v>45116</v>
      </c>
      <c r="C1092" s="8" t="str">
        <f>"Ord-07-23-"&amp;TEXT(ROW(C42),"000")</f>
        <v>Ord-07-23-042</v>
      </c>
      <c r="D1092" s="6" t="s">
        <v>21</v>
      </c>
      <c r="E1092" s="10" t="s">
        <v>31</v>
      </c>
      <c r="F1092" s="10" t="s">
        <v>52</v>
      </c>
      <c r="G1092" s="10" t="s">
        <v>73</v>
      </c>
      <c r="H1092" s="10">
        <v>2500</v>
      </c>
      <c r="I1092" s="6">
        <v>4</v>
      </c>
      <c r="J1092" s="6">
        <f>H1092*I1092</f>
        <v>10000</v>
      </c>
    </row>
    <row r="1093" spans="2:10" ht="20.100000000000001" customHeight="1" x14ac:dyDescent="0.25">
      <c r="B1093" s="5">
        <v>45116</v>
      </c>
      <c r="C1093" s="8" t="str">
        <f>"Ord-07-23-"&amp;TEXT(ROW(C43),"000")</f>
        <v>Ord-07-23-043</v>
      </c>
      <c r="D1093" s="6" t="s">
        <v>15</v>
      </c>
      <c r="E1093" s="10" t="s">
        <v>30</v>
      </c>
      <c r="F1093" s="10" t="s">
        <v>90</v>
      </c>
      <c r="G1093" s="10" t="s">
        <v>59</v>
      </c>
      <c r="H1093" s="10">
        <v>4800</v>
      </c>
      <c r="I1093" s="6">
        <v>2</v>
      </c>
      <c r="J1093" s="6">
        <f>H1093*I1093</f>
        <v>9600</v>
      </c>
    </row>
    <row r="1094" spans="2:10" ht="20.100000000000001" customHeight="1" x14ac:dyDescent="0.25">
      <c r="B1094" s="5">
        <v>45116</v>
      </c>
      <c r="C1094" s="8" t="str">
        <f>"Ord-07-23-"&amp;TEXT(ROW(C44),"000")</f>
        <v>Ord-07-23-044</v>
      </c>
      <c r="D1094" s="6" t="s">
        <v>7</v>
      </c>
      <c r="E1094" s="10" t="s">
        <v>27</v>
      </c>
      <c r="F1094" s="10" t="s">
        <v>50</v>
      </c>
      <c r="G1094" s="10" t="s">
        <v>53</v>
      </c>
      <c r="H1094" s="10">
        <v>3500</v>
      </c>
      <c r="I1094" s="6">
        <v>3</v>
      </c>
      <c r="J1094" s="6">
        <f>H1094*I1094</f>
        <v>10500</v>
      </c>
    </row>
    <row r="1095" spans="2:10" ht="20.100000000000001" customHeight="1" x14ac:dyDescent="0.25">
      <c r="B1095" s="5">
        <v>45116</v>
      </c>
      <c r="C1095" s="8" t="str">
        <f>"Ord-07-23-"&amp;TEXT(ROW(C45),"000")</f>
        <v>Ord-07-23-045</v>
      </c>
      <c r="D1095" s="6" t="s">
        <v>10</v>
      </c>
      <c r="E1095" s="10" t="s">
        <v>27</v>
      </c>
      <c r="F1095" s="10" t="s">
        <v>38</v>
      </c>
      <c r="G1095" s="10" t="s">
        <v>53</v>
      </c>
      <c r="H1095" s="10">
        <v>5500</v>
      </c>
      <c r="I1095" s="6">
        <v>2</v>
      </c>
      <c r="J1095" s="6">
        <f>H1095*I1095</f>
        <v>11000</v>
      </c>
    </row>
    <row r="1096" spans="2:10" ht="20.100000000000001" customHeight="1" x14ac:dyDescent="0.25">
      <c r="B1096" s="5">
        <v>45117</v>
      </c>
      <c r="C1096" s="8" t="str">
        <f>"Ord-07-23-"&amp;TEXT(ROW(C46),"000")</f>
        <v>Ord-07-23-046</v>
      </c>
      <c r="D1096" s="6" t="s">
        <v>20</v>
      </c>
      <c r="E1096" s="10" t="s">
        <v>31</v>
      </c>
      <c r="F1096" s="10" t="s">
        <v>48</v>
      </c>
      <c r="G1096" s="10" t="s">
        <v>73</v>
      </c>
      <c r="H1096" s="10">
        <v>1600</v>
      </c>
      <c r="I1096" s="6">
        <v>5</v>
      </c>
      <c r="J1096" s="6">
        <f>H1096*I1096</f>
        <v>8000</v>
      </c>
    </row>
    <row r="1097" spans="2:10" ht="20.100000000000001" customHeight="1" x14ac:dyDescent="0.25">
      <c r="B1097" s="5">
        <v>45117</v>
      </c>
      <c r="C1097" s="8" t="str">
        <f>"Ord-07-23-"&amp;TEXT(ROW(C47),"000")</f>
        <v>Ord-07-23-047</v>
      </c>
      <c r="D1097" s="6" t="s">
        <v>8</v>
      </c>
      <c r="E1097" s="10" t="s">
        <v>36</v>
      </c>
      <c r="F1097" s="10" t="s">
        <v>36</v>
      </c>
      <c r="G1097" s="10" t="s">
        <v>78</v>
      </c>
      <c r="H1097" s="10">
        <v>2500</v>
      </c>
      <c r="I1097" s="6">
        <v>5</v>
      </c>
      <c r="J1097" s="6">
        <f>H1097*I1097</f>
        <v>12500</v>
      </c>
    </row>
    <row r="1098" spans="2:10" ht="20.100000000000001" customHeight="1" x14ac:dyDescent="0.25">
      <c r="B1098" s="5">
        <v>45117</v>
      </c>
      <c r="C1098" s="8" t="str">
        <f>"Ord-07-23-"&amp;TEXT(ROW(C48),"000")</f>
        <v>Ord-07-23-048</v>
      </c>
      <c r="D1098" s="6" t="s">
        <v>9</v>
      </c>
      <c r="E1098" s="10" t="s">
        <v>29</v>
      </c>
      <c r="F1098" s="10" t="s">
        <v>39</v>
      </c>
      <c r="G1098" s="10" t="s">
        <v>60</v>
      </c>
      <c r="H1098" s="10">
        <v>1500</v>
      </c>
      <c r="I1098" s="6">
        <v>2</v>
      </c>
      <c r="J1098" s="6">
        <f>H1098*I1098</f>
        <v>3000</v>
      </c>
    </row>
    <row r="1099" spans="2:10" ht="20.100000000000001" customHeight="1" x14ac:dyDescent="0.25">
      <c r="B1099" s="5">
        <v>45117</v>
      </c>
      <c r="C1099" s="8" t="str">
        <f>"Ord-07-23-"&amp;TEXT(ROW(C49),"000")</f>
        <v>Ord-07-23-049</v>
      </c>
      <c r="D1099" s="6" t="s">
        <v>12</v>
      </c>
      <c r="E1099" s="10" t="s">
        <v>27</v>
      </c>
      <c r="F1099" s="10" t="s">
        <v>42</v>
      </c>
      <c r="G1099" s="10" t="s">
        <v>42</v>
      </c>
      <c r="H1099" s="10">
        <v>2500</v>
      </c>
      <c r="I1099" s="6">
        <v>1</v>
      </c>
      <c r="J1099" s="6">
        <f>H1099*I1099</f>
        <v>2500</v>
      </c>
    </row>
    <row r="1100" spans="2:10" ht="20.100000000000001" customHeight="1" x14ac:dyDescent="0.25">
      <c r="B1100" s="5">
        <v>45117</v>
      </c>
      <c r="C1100" s="8" t="str">
        <f>"Ord-07-23-"&amp;TEXT(ROW(C50),"000")</f>
        <v>Ord-07-23-050</v>
      </c>
      <c r="D1100" s="6" t="s">
        <v>13</v>
      </c>
      <c r="E1100" s="10" t="s">
        <v>27</v>
      </c>
      <c r="F1100" s="10" t="s">
        <v>38</v>
      </c>
      <c r="G1100" s="10" t="s">
        <v>64</v>
      </c>
      <c r="H1100" s="10">
        <v>4800</v>
      </c>
      <c r="I1100" s="6">
        <v>3</v>
      </c>
      <c r="J1100" s="6">
        <f>H1100*I1100</f>
        <v>14400</v>
      </c>
    </row>
    <row r="1101" spans="2:10" ht="20.100000000000001" customHeight="1" x14ac:dyDescent="0.25">
      <c r="B1101" s="5">
        <v>45118</v>
      </c>
      <c r="C1101" s="8" t="str">
        <f>"Ord-07-23-"&amp;TEXT(ROW(C51),"000")</f>
        <v>Ord-07-23-051</v>
      </c>
      <c r="D1101" s="6" t="s">
        <v>17</v>
      </c>
      <c r="E1101" s="10" t="s">
        <v>32</v>
      </c>
      <c r="F1101" s="10" t="s">
        <v>51</v>
      </c>
      <c r="G1101" s="10" t="s">
        <v>70</v>
      </c>
      <c r="H1101" s="10">
        <v>2600</v>
      </c>
      <c r="I1101" s="6">
        <v>5</v>
      </c>
      <c r="J1101" s="6">
        <f>H1101*I1101</f>
        <v>13000</v>
      </c>
    </row>
    <row r="1102" spans="2:10" ht="20.100000000000001" customHeight="1" x14ac:dyDescent="0.25">
      <c r="B1102" s="5">
        <v>45118</v>
      </c>
      <c r="C1102" s="8" t="str">
        <f>"Ord-07-23-"&amp;TEXT(ROW(C52),"000")</f>
        <v>Ord-07-23-052</v>
      </c>
      <c r="D1102" s="6" t="s">
        <v>13</v>
      </c>
      <c r="E1102" s="10" t="s">
        <v>31</v>
      </c>
      <c r="F1102" s="10" t="s">
        <v>43</v>
      </c>
      <c r="G1102" s="10" t="s">
        <v>69</v>
      </c>
      <c r="H1102" s="10">
        <v>4900</v>
      </c>
      <c r="I1102" s="6">
        <v>3</v>
      </c>
      <c r="J1102" s="6">
        <f>H1102*I1102</f>
        <v>14700</v>
      </c>
    </row>
    <row r="1103" spans="2:10" ht="20.100000000000001" customHeight="1" x14ac:dyDescent="0.25">
      <c r="B1103" s="5">
        <v>45118</v>
      </c>
      <c r="C1103" s="8" t="str">
        <f>"Ord-07-23-"&amp;TEXT(ROW(C53),"000")</f>
        <v>Ord-07-23-053</v>
      </c>
      <c r="D1103" s="6" t="s">
        <v>16</v>
      </c>
      <c r="E1103" s="10" t="s">
        <v>27</v>
      </c>
      <c r="F1103" s="10" t="s">
        <v>50</v>
      </c>
      <c r="G1103" s="10" t="s">
        <v>54</v>
      </c>
      <c r="H1103" s="10">
        <v>3200</v>
      </c>
      <c r="I1103" s="6">
        <v>1</v>
      </c>
      <c r="J1103" s="6">
        <f>H1103*I1103</f>
        <v>3200</v>
      </c>
    </row>
    <row r="1104" spans="2:10" ht="20.100000000000001" customHeight="1" x14ac:dyDescent="0.25">
      <c r="B1104" s="5">
        <v>45118</v>
      </c>
      <c r="C1104" s="8" t="str">
        <f>"Ord-07-23-"&amp;TEXT(ROW(C54),"000")</f>
        <v>Ord-07-23-054</v>
      </c>
      <c r="D1104" s="6" t="s">
        <v>26</v>
      </c>
      <c r="E1104" s="10" t="s">
        <v>27</v>
      </c>
      <c r="F1104" s="10" t="s">
        <v>41</v>
      </c>
      <c r="G1104" s="10" t="s">
        <v>53</v>
      </c>
      <c r="H1104" s="10">
        <v>3000</v>
      </c>
      <c r="I1104" s="6">
        <v>5</v>
      </c>
      <c r="J1104" s="6">
        <f>H1104*I1104</f>
        <v>15000</v>
      </c>
    </row>
    <row r="1105" spans="2:10" ht="20.100000000000001" customHeight="1" x14ac:dyDescent="0.25">
      <c r="B1105" s="5">
        <v>45118</v>
      </c>
      <c r="C1105" s="8" t="str">
        <f>"Ord-07-23-"&amp;TEXT(ROW(C55),"000")</f>
        <v>Ord-07-23-055</v>
      </c>
      <c r="D1105" s="6" t="s">
        <v>10</v>
      </c>
      <c r="E1105" s="10" t="s">
        <v>27</v>
      </c>
      <c r="F1105" s="10" t="s">
        <v>41</v>
      </c>
      <c r="G1105" s="10" t="s">
        <v>53</v>
      </c>
      <c r="H1105" s="10">
        <v>3000</v>
      </c>
      <c r="I1105" s="6">
        <v>4</v>
      </c>
      <c r="J1105" s="6">
        <f>H1105*I1105</f>
        <v>12000</v>
      </c>
    </row>
    <row r="1106" spans="2:10" ht="20.100000000000001" customHeight="1" x14ac:dyDescent="0.25">
      <c r="B1106" s="4">
        <v>45119</v>
      </c>
      <c r="C1106" s="8" t="str">
        <f>"Ord-07-23-"&amp;TEXT(ROW(C56),"000")</f>
        <v>Ord-07-23-056</v>
      </c>
      <c r="D1106" s="6" t="s">
        <v>12</v>
      </c>
      <c r="E1106" s="10" t="s">
        <v>35</v>
      </c>
      <c r="F1106" s="12" t="s">
        <v>90</v>
      </c>
      <c r="G1106" s="10" t="s">
        <v>58</v>
      </c>
      <c r="H1106" s="13">
        <v>7500</v>
      </c>
      <c r="I1106" s="7">
        <v>1</v>
      </c>
      <c r="J1106" s="6">
        <f>H1106*I1106</f>
        <v>7500</v>
      </c>
    </row>
    <row r="1107" spans="2:10" ht="20.100000000000001" customHeight="1" x14ac:dyDescent="0.25">
      <c r="B1107" s="4">
        <v>45119</v>
      </c>
      <c r="C1107" s="8" t="str">
        <f>"Ord-07-23-"&amp;TEXT(ROW(C57),"000")</f>
        <v>Ord-07-23-057</v>
      </c>
      <c r="D1107" s="6" t="s">
        <v>22</v>
      </c>
      <c r="E1107" s="10" t="s">
        <v>31</v>
      </c>
      <c r="F1107" s="10" t="s">
        <v>43</v>
      </c>
      <c r="G1107" s="10" t="s">
        <v>76</v>
      </c>
      <c r="H1107" s="13">
        <v>4800</v>
      </c>
      <c r="I1107" s="7">
        <v>2</v>
      </c>
      <c r="J1107" s="6">
        <f>H1107*I1107</f>
        <v>9600</v>
      </c>
    </row>
    <row r="1108" spans="2:10" ht="20.100000000000001" customHeight="1" x14ac:dyDescent="0.25">
      <c r="B1108" s="4">
        <v>45119</v>
      </c>
      <c r="C1108" s="8" t="str">
        <f>"Ord-07-23-"&amp;TEXT(ROW(C58),"000")</f>
        <v>Ord-07-23-058</v>
      </c>
      <c r="D1108" s="6" t="s">
        <v>24</v>
      </c>
      <c r="E1108" s="10" t="s">
        <v>36</v>
      </c>
      <c r="F1108" s="10" t="s">
        <v>36</v>
      </c>
      <c r="G1108" s="10" t="s">
        <v>41</v>
      </c>
      <c r="H1108" s="13">
        <v>2000</v>
      </c>
      <c r="I1108" s="7">
        <v>3</v>
      </c>
      <c r="J1108" s="6">
        <f>H1108*I1108</f>
        <v>6000</v>
      </c>
    </row>
    <row r="1109" spans="2:10" ht="20.100000000000001" customHeight="1" x14ac:dyDescent="0.25">
      <c r="B1109" s="4">
        <v>45119</v>
      </c>
      <c r="C1109" s="8" t="str">
        <f>"Ord-07-23-"&amp;TEXT(ROW(C59),"000")</f>
        <v>Ord-07-23-059</v>
      </c>
      <c r="D1109" s="6" t="s">
        <v>23</v>
      </c>
      <c r="E1109" s="10" t="s">
        <v>27</v>
      </c>
      <c r="F1109" s="10" t="s">
        <v>42</v>
      </c>
      <c r="G1109" s="10" t="s">
        <v>42</v>
      </c>
      <c r="H1109" s="13">
        <v>2500</v>
      </c>
      <c r="I1109" s="7">
        <v>4</v>
      </c>
      <c r="J1109" s="6">
        <f>H1109*I1109</f>
        <v>10000</v>
      </c>
    </row>
    <row r="1110" spans="2:10" ht="20.100000000000001" customHeight="1" x14ac:dyDescent="0.25">
      <c r="B1110" s="4">
        <v>45119</v>
      </c>
      <c r="C1110" s="8" t="str">
        <f>"Ord-07-23-"&amp;TEXT(ROW(C60),"000")</f>
        <v>Ord-07-23-060</v>
      </c>
      <c r="D1110" s="6" t="s">
        <v>22</v>
      </c>
      <c r="E1110" s="10" t="s">
        <v>27</v>
      </c>
      <c r="F1110" s="10" t="s">
        <v>41</v>
      </c>
      <c r="G1110" s="10" t="s">
        <v>54</v>
      </c>
      <c r="H1110" s="13">
        <v>2800</v>
      </c>
      <c r="I1110" s="7">
        <v>2</v>
      </c>
      <c r="J1110" s="6">
        <f>H1110*I1110</f>
        <v>5600</v>
      </c>
    </row>
    <row r="1111" spans="2:10" ht="20.100000000000001" customHeight="1" x14ac:dyDescent="0.25">
      <c r="B1111" s="5">
        <v>45120</v>
      </c>
      <c r="C1111" s="8" t="str">
        <f>"Ord-07-23-"&amp;TEXT(ROW(C61),"000")</f>
        <v>Ord-07-23-061</v>
      </c>
      <c r="D1111" s="6" t="s">
        <v>10</v>
      </c>
      <c r="E1111" s="10" t="s">
        <v>32</v>
      </c>
      <c r="F1111" s="10" t="s">
        <v>44</v>
      </c>
      <c r="G1111" s="10" t="s">
        <v>62</v>
      </c>
      <c r="H1111" s="13">
        <v>1200</v>
      </c>
      <c r="I1111" s="7">
        <v>1</v>
      </c>
      <c r="J1111" s="6">
        <f>H1111*I1111</f>
        <v>1200</v>
      </c>
    </row>
    <row r="1112" spans="2:10" ht="20.100000000000001" customHeight="1" x14ac:dyDescent="0.25">
      <c r="B1112" s="5">
        <v>45120</v>
      </c>
      <c r="C1112" s="8" t="str">
        <f>"Ord-07-23-"&amp;TEXT(ROW(C62),"000")</f>
        <v>Ord-07-23-062</v>
      </c>
      <c r="D1112" s="6" t="s">
        <v>14</v>
      </c>
      <c r="E1112" s="10" t="s">
        <v>33</v>
      </c>
      <c r="F1112" s="10" t="s">
        <v>47</v>
      </c>
      <c r="G1112" s="10" t="s">
        <v>65</v>
      </c>
      <c r="H1112" s="13">
        <v>25</v>
      </c>
      <c r="I1112" s="7">
        <v>150</v>
      </c>
      <c r="J1112" s="6">
        <f>H1112*I1112</f>
        <v>3750</v>
      </c>
    </row>
    <row r="1113" spans="2:10" ht="20.100000000000001" customHeight="1" x14ac:dyDescent="0.25">
      <c r="B1113" s="5">
        <v>45120</v>
      </c>
      <c r="C1113" s="8" t="str">
        <f>"Ord-07-23-"&amp;TEXT(ROW(C63),"000")</f>
        <v>Ord-07-23-063</v>
      </c>
      <c r="D1113" s="6" t="s">
        <v>20</v>
      </c>
      <c r="E1113" s="10" t="s">
        <v>31</v>
      </c>
      <c r="F1113" s="10" t="s">
        <v>52</v>
      </c>
      <c r="G1113" s="10" t="s">
        <v>69</v>
      </c>
      <c r="H1113" s="13">
        <v>3500</v>
      </c>
      <c r="I1113" s="7">
        <v>4</v>
      </c>
      <c r="J1113" s="6">
        <f>H1113*I1113</f>
        <v>14000</v>
      </c>
    </row>
    <row r="1114" spans="2:10" ht="20.100000000000001" customHeight="1" x14ac:dyDescent="0.25">
      <c r="B1114" s="5">
        <v>45120</v>
      </c>
      <c r="C1114" s="8" t="str">
        <f>"Ord-07-23-"&amp;TEXT(ROW(C64),"000")</f>
        <v>Ord-07-23-064</v>
      </c>
      <c r="D1114" s="6" t="s">
        <v>11</v>
      </c>
      <c r="E1114" s="10" t="s">
        <v>27</v>
      </c>
      <c r="F1114" s="10" t="s">
        <v>37</v>
      </c>
      <c r="G1114" s="10" t="s">
        <v>53</v>
      </c>
      <c r="H1114" s="13">
        <v>5200</v>
      </c>
      <c r="I1114" s="7">
        <v>2</v>
      </c>
      <c r="J1114" s="6">
        <f>H1114*I1114</f>
        <v>10400</v>
      </c>
    </row>
    <row r="1115" spans="2:10" ht="20.100000000000001" customHeight="1" x14ac:dyDescent="0.25">
      <c r="B1115" s="5">
        <v>45120</v>
      </c>
      <c r="C1115" s="8" t="str">
        <f>"Ord-07-23-"&amp;TEXT(ROW(C65),"000")</f>
        <v>Ord-07-23-065</v>
      </c>
      <c r="D1115" s="6" t="s">
        <v>17</v>
      </c>
      <c r="E1115" s="10" t="s">
        <v>27</v>
      </c>
      <c r="F1115" s="10" t="s">
        <v>37</v>
      </c>
      <c r="G1115" s="10" t="s">
        <v>53</v>
      </c>
      <c r="H1115" s="13">
        <v>5200</v>
      </c>
      <c r="I1115" s="7">
        <v>2</v>
      </c>
      <c r="J1115" s="6">
        <f>H1115*I1115</f>
        <v>10400</v>
      </c>
    </row>
    <row r="1116" spans="2:10" ht="20.100000000000001" customHeight="1" x14ac:dyDescent="0.25">
      <c r="B1116" s="5">
        <v>45121</v>
      </c>
      <c r="C1116" s="8" t="str">
        <f>"Ord-07-23-"&amp;TEXT(ROW(C66),"000")</f>
        <v>Ord-07-23-066</v>
      </c>
      <c r="D1116" s="6" t="s">
        <v>11</v>
      </c>
      <c r="E1116" s="10" t="s">
        <v>32</v>
      </c>
      <c r="F1116" s="10" t="s">
        <v>44</v>
      </c>
      <c r="G1116" s="10" t="s">
        <v>87</v>
      </c>
      <c r="H1116" s="13">
        <v>1500</v>
      </c>
      <c r="I1116" s="7">
        <v>1</v>
      </c>
      <c r="J1116" s="6">
        <f>H1116*I1116</f>
        <v>1500</v>
      </c>
    </row>
    <row r="1117" spans="2:10" ht="20.100000000000001" customHeight="1" x14ac:dyDescent="0.25">
      <c r="B1117" s="5">
        <v>45121</v>
      </c>
      <c r="C1117" s="8" t="str">
        <f>"Ord-07-23-"&amp;TEXT(ROW(C67),"000")</f>
        <v>Ord-07-23-067</v>
      </c>
      <c r="D1117" s="6" t="s">
        <v>19</v>
      </c>
      <c r="E1117" s="10" t="s">
        <v>31</v>
      </c>
      <c r="F1117" s="10" t="s">
        <v>43</v>
      </c>
      <c r="G1117" s="10" t="s">
        <v>82</v>
      </c>
      <c r="H1117" s="13">
        <v>16000</v>
      </c>
      <c r="I1117" s="7">
        <v>3</v>
      </c>
      <c r="J1117" s="6">
        <f>H1117*I1117</f>
        <v>48000</v>
      </c>
    </row>
    <row r="1118" spans="2:10" ht="20.100000000000001" customHeight="1" x14ac:dyDescent="0.25">
      <c r="B1118" s="5">
        <v>45121</v>
      </c>
      <c r="C1118" s="8" t="str">
        <f>"Ord-07-23-"&amp;TEXT(ROW(C68),"000")</f>
        <v>Ord-07-23-068</v>
      </c>
      <c r="D1118" s="6" t="s">
        <v>19</v>
      </c>
      <c r="E1118" s="10" t="s">
        <v>31</v>
      </c>
      <c r="F1118" s="10" t="s">
        <v>45</v>
      </c>
      <c r="G1118" s="10" t="s">
        <v>67</v>
      </c>
      <c r="H1118" s="13">
        <v>8500</v>
      </c>
      <c r="I1118" s="7">
        <v>1</v>
      </c>
      <c r="J1118" s="6">
        <f>H1118*I1118</f>
        <v>8500</v>
      </c>
    </row>
    <row r="1119" spans="2:10" ht="20.100000000000001" customHeight="1" x14ac:dyDescent="0.25">
      <c r="B1119" s="5">
        <v>45121</v>
      </c>
      <c r="C1119" s="8" t="str">
        <f>"Ord-07-23-"&amp;TEXT(ROW(C69),"000")</f>
        <v>Ord-07-23-069</v>
      </c>
      <c r="D1119" s="6" t="s">
        <v>26</v>
      </c>
      <c r="E1119" s="10" t="s">
        <v>29</v>
      </c>
      <c r="F1119" s="10" t="s">
        <v>40</v>
      </c>
      <c r="G1119" s="10" t="s">
        <v>57</v>
      </c>
      <c r="H1119" s="13">
        <v>4000</v>
      </c>
      <c r="I1119" s="7">
        <v>1</v>
      </c>
      <c r="J1119" s="6">
        <f>H1119*I1119</f>
        <v>4000</v>
      </c>
    </row>
    <row r="1120" spans="2:10" ht="20.100000000000001" customHeight="1" x14ac:dyDescent="0.25">
      <c r="B1120" s="5">
        <v>45121</v>
      </c>
      <c r="C1120" s="8" t="str">
        <f>"Ord-07-23-"&amp;TEXT(ROW(C70),"000")</f>
        <v>Ord-07-23-070</v>
      </c>
      <c r="D1120" s="6" t="s">
        <v>12</v>
      </c>
      <c r="E1120" s="10" t="s">
        <v>29</v>
      </c>
      <c r="F1120" s="10" t="s">
        <v>40</v>
      </c>
      <c r="G1120" s="10" t="s">
        <v>84</v>
      </c>
      <c r="H1120" s="13">
        <v>7500</v>
      </c>
      <c r="I1120" s="7">
        <v>3</v>
      </c>
      <c r="J1120" s="6">
        <f>H1120*I1120</f>
        <v>22500</v>
      </c>
    </row>
    <row r="1121" spans="2:10" ht="20.100000000000001" customHeight="1" x14ac:dyDescent="0.25">
      <c r="B1121" s="5">
        <v>45122</v>
      </c>
      <c r="C1121" s="8" t="str">
        <f>"Ord-07-23-"&amp;TEXT(ROW(C71),"000")</f>
        <v>Ord-07-23-071</v>
      </c>
      <c r="D1121" s="6" t="s">
        <v>26</v>
      </c>
      <c r="E1121" s="10" t="s">
        <v>33</v>
      </c>
      <c r="F1121" s="10" t="s">
        <v>47</v>
      </c>
      <c r="G1121" s="10" t="s">
        <v>65</v>
      </c>
      <c r="H1121" s="13">
        <v>25</v>
      </c>
      <c r="I1121" s="7">
        <v>200</v>
      </c>
      <c r="J1121" s="6">
        <f>H1121*I1121</f>
        <v>5000</v>
      </c>
    </row>
    <row r="1122" spans="2:10" ht="20.100000000000001" customHeight="1" x14ac:dyDescent="0.25">
      <c r="B1122" s="5">
        <v>45122</v>
      </c>
      <c r="C1122" s="8" t="str">
        <f>"Ord-07-23-"&amp;TEXT(ROW(C72),"000")</f>
        <v>Ord-07-23-072</v>
      </c>
      <c r="D1122" s="6" t="s">
        <v>13</v>
      </c>
      <c r="E1122" s="10" t="s">
        <v>31</v>
      </c>
      <c r="F1122" s="10" t="s">
        <v>43</v>
      </c>
      <c r="G1122" s="10" t="s">
        <v>69</v>
      </c>
      <c r="H1122" s="13">
        <v>4900</v>
      </c>
      <c r="I1122" s="7">
        <v>5</v>
      </c>
      <c r="J1122" s="6">
        <f>H1122*I1122</f>
        <v>24500</v>
      </c>
    </row>
    <row r="1123" spans="2:10" ht="20.100000000000001" customHeight="1" x14ac:dyDescent="0.25">
      <c r="B1123" s="5">
        <v>45122</v>
      </c>
      <c r="C1123" s="8" t="str">
        <f>"Ord-07-23-"&amp;TEXT(ROW(C73),"000")</f>
        <v>Ord-07-23-073</v>
      </c>
      <c r="D1123" s="6" t="s">
        <v>16</v>
      </c>
      <c r="E1123" s="10" t="s">
        <v>31</v>
      </c>
      <c r="F1123" s="10" t="s">
        <v>45</v>
      </c>
      <c r="G1123" s="10" t="s">
        <v>63</v>
      </c>
      <c r="H1123" s="13">
        <v>1800</v>
      </c>
      <c r="I1123" s="7">
        <v>1</v>
      </c>
      <c r="J1123" s="6">
        <f>H1123*I1123</f>
        <v>1800</v>
      </c>
    </row>
    <row r="1124" spans="2:10" ht="20.100000000000001" customHeight="1" x14ac:dyDescent="0.25">
      <c r="B1124" s="5">
        <v>45122</v>
      </c>
      <c r="C1124" s="8" t="str">
        <f>"Ord-07-23-"&amp;TEXT(ROW(C74),"000")</f>
        <v>Ord-07-23-074</v>
      </c>
      <c r="D1124" s="6" t="s">
        <v>17</v>
      </c>
      <c r="E1124" s="10" t="s">
        <v>29</v>
      </c>
      <c r="F1124" s="10" t="s">
        <v>40</v>
      </c>
      <c r="G1124" s="10" t="s">
        <v>57</v>
      </c>
      <c r="H1124" s="13">
        <v>4000</v>
      </c>
      <c r="I1124" s="7">
        <v>3</v>
      </c>
      <c r="J1124" s="6">
        <f>H1124*I1124</f>
        <v>12000</v>
      </c>
    </row>
    <row r="1125" spans="2:10" ht="20.100000000000001" customHeight="1" x14ac:dyDescent="0.25">
      <c r="B1125" s="5">
        <v>45122</v>
      </c>
      <c r="C1125" s="8" t="str">
        <f>"Ord-07-23-"&amp;TEXT(ROW(C75),"000")</f>
        <v>Ord-07-23-075</v>
      </c>
      <c r="D1125" s="6" t="s">
        <v>12</v>
      </c>
      <c r="E1125" s="10" t="s">
        <v>27</v>
      </c>
      <c r="F1125" s="10" t="s">
        <v>50</v>
      </c>
      <c r="G1125" s="10" t="s">
        <v>54</v>
      </c>
      <c r="H1125" s="13">
        <v>3200</v>
      </c>
      <c r="I1125" s="7">
        <v>3</v>
      </c>
      <c r="J1125" s="6">
        <f>H1125*I1125</f>
        <v>9600</v>
      </c>
    </row>
    <row r="1126" spans="2:10" ht="20.100000000000001" customHeight="1" x14ac:dyDescent="0.25">
      <c r="B1126" s="5">
        <v>45123</v>
      </c>
      <c r="C1126" s="8" t="str">
        <f>"Ord-07-23-"&amp;TEXT(ROW(C76),"000")</f>
        <v>Ord-07-23-076</v>
      </c>
      <c r="D1126" s="6" t="s">
        <v>23</v>
      </c>
      <c r="E1126" s="10" t="s">
        <v>32</v>
      </c>
      <c r="F1126" s="10" t="s">
        <v>51</v>
      </c>
      <c r="G1126" s="10" t="s">
        <v>80</v>
      </c>
      <c r="H1126" s="13">
        <v>5500</v>
      </c>
      <c r="I1126" s="7">
        <v>1</v>
      </c>
      <c r="J1126" s="6">
        <f>H1126*I1126</f>
        <v>5500</v>
      </c>
    </row>
    <row r="1127" spans="2:10" ht="20.100000000000001" customHeight="1" x14ac:dyDescent="0.25">
      <c r="B1127" s="5">
        <v>45123</v>
      </c>
      <c r="C1127" s="8" t="str">
        <f>"Ord-07-23-"&amp;TEXT(ROW(C77),"000")</f>
        <v>Ord-07-23-077</v>
      </c>
      <c r="D1127" s="6" t="s">
        <v>17</v>
      </c>
      <c r="E1127" s="10" t="s">
        <v>33</v>
      </c>
      <c r="F1127" s="10" t="s">
        <v>46</v>
      </c>
      <c r="G1127" s="10" t="s">
        <v>65</v>
      </c>
      <c r="H1127" s="13">
        <v>15</v>
      </c>
      <c r="I1127" s="7">
        <v>300</v>
      </c>
      <c r="J1127" s="6">
        <f>H1127*I1127</f>
        <v>4500</v>
      </c>
    </row>
    <row r="1128" spans="2:10" ht="20.100000000000001" customHeight="1" x14ac:dyDescent="0.25">
      <c r="B1128" s="5">
        <v>45123</v>
      </c>
      <c r="C1128" s="8" t="str">
        <f>"Ord-07-23-"&amp;TEXT(ROW(C78),"000")</f>
        <v>Ord-07-23-078</v>
      </c>
      <c r="D1128" s="6" t="s">
        <v>21</v>
      </c>
      <c r="E1128" s="10" t="s">
        <v>29</v>
      </c>
      <c r="F1128" s="10" t="s">
        <v>39</v>
      </c>
      <c r="G1128" s="10" t="s">
        <v>60</v>
      </c>
      <c r="H1128" s="13">
        <v>1500</v>
      </c>
      <c r="I1128" s="7">
        <v>3</v>
      </c>
      <c r="J1128" s="6">
        <f>H1128*I1128</f>
        <v>4500</v>
      </c>
    </row>
    <row r="1129" spans="2:10" ht="20.100000000000001" customHeight="1" x14ac:dyDescent="0.25">
      <c r="B1129" s="5">
        <v>45123</v>
      </c>
      <c r="C1129" s="8" t="str">
        <f>"Ord-07-23-"&amp;TEXT(ROW(C79),"000")</f>
        <v>Ord-07-23-079</v>
      </c>
      <c r="D1129" s="6" t="s">
        <v>9</v>
      </c>
      <c r="E1129" s="10" t="s">
        <v>30</v>
      </c>
      <c r="F1129" s="10" t="s">
        <v>90</v>
      </c>
      <c r="G1129" s="10" t="s">
        <v>59</v>
      </c>
      <c r="H1129" s="13">
        <v>4800</v>
      </c>
      <c r="I1129" s="7">
        <v>5</v>
      </c>
      <c r="J1129" s="6">
        <f>H1129*I1129</f>
        <v>24000</v>
      </c>
    </row>
    <row r="1130" spans="2:10" ht="20.100000000000001" customHeight="1" x14ac:dyDescent="0.25">
      <c r="B1130" s="5">
        <v>45123</v>
      </c>
      <c r="C1130" s="8" t="str">
        <f>"Ord-07-23-"&amp;TEXT(ROW(C80),"000")</f>
        <v>Ord-07-23-080</v>
      </c>
      <c r="D1130" s="6" t="s">
        <v>7</v>
      </c>
      <c r="E1130" s="10" t="s">
        <v>27</v>
      </c>
      <c r="F1130" s="10" t="s">
        <v>42</v>
      </c>
      <c r="G1130" s="10" t="s">
        <v>42</v>
      </c>
      <c r="H1130" s="13">
        <v>2500</v>
      </c>
      <c r="I1130" s="7">
        <v>3</v>
      </c>
      <c r="J1130" s="6">
        <f>H1130*I1130</f>
        <v>7500</v>
      </c>
    </row>
    <row r="1131" spans="2:10" ht="20.100000000000001" customHeight="1" x14ac:dyDescent="0.25">
      <c r="B1131" s="5">
        <v>45124</v>
      </c>
      <c r="C1131" s="8" t="str">
        <f>"Ord-07-23-"&amp;TEXT(ROW(C81),"000")</f>
        <v>Ord-07-23-081</v>
      </c>
      <c r="D1131" s="6" t="s">
        <v>20</v>
      </c>
      <c r="E1131" s="10" t="s">
        <v>32</v>
      </c>
      <c r="F1131" s="10" t="s">
        <v>44</v>
      </c>
      <c r="G1131" s="10" t="s">
        <v>62</v>
      </c>
      <c r="H1131" s="13">
        <v>1200</v>
      </c>
      <c r="I1131" s="7">
        <v>3</v>
      </c>
      <c r="J1131" s="6">
        <f>H1131*I1131</f>
        <v>3600</v>
      </c>
    </row>
    <row r="1132" spans="2:10" ht="20.100000000000001" customHeight="1" x14ac:dyDescent="0.25">
      <c r="B1132" s="5">
        <v>45124</v>
      </c>
      <c r="C1132" s="8" t="str">
        <f>"Ord-07-23-"&amp;TEXT(ROW(C82),"000")</f>
        <v>Ord-07-23-082</v>
      </c>
      <c r="D1132" s="6" t="s">
        <v>10</v>
      </c>
      <c r="E1132" s="10" t="s">
        <v>33</v>
      </c>
      <c r="F1132" s="10" t="s">
        <v>47</v>
      </c>
      <c r="G1132" s="10" t="s">
        <v>65</v>
      </c>
      <c r="H1132" s="13">
        <v>25</v>
      </c>
      <c r="I1132" s="7">
        <v>160</v>
      </c>
      <c r="J1132" s="6">
        <f>H1132*I1132</f>
        <v>4000</v>
      </c>
    </row>
    <row r="1133" spans="2:10" ht="20.100000000000001" customHeight="1" x14ac:dyDescent="0.25">
      <c r="B1133" s="5">
        <v>45124</v>
      </c>
      <c r="C1133" s="8" t="str">
        <f>"Ord-07-23-"&amp;TEXT(ROW(C83),"000")</f>
        <v>Ord-07-23-083</v>
      </c>
      <c r="D1133" s="6" t="s">
        <v>26</v>
      </c>
      <c r="E1133" s="10" t="s">
        <v>36</v>
      </c>
      <c r="F1133" s="10" t="s">
        <v>36</v>
      </c>
      <c r="G1133" s="10" t="s">
        <v>41</v>
      </c>
      <c r="H1133" s="13">
        <v>2000</v>
      </c>
      <c r="I1133" s="7">
        <v>5</v>
      </c>
      <c r="J1133" s="6">
        <f>H1133*I1133</f>
        <v>10000</v>
      </c>
    </row>
    <row r="1134" spans="2:10" ht="20.100000000000001" customHeight="1" x14ac:dyDescent="0.25">
      <c r="B1134" s="5">
        <v>45124</v>
      </c>
      <c r="C1134" s="8" t="str">
        <f>"Ord-07-23-"&amp;TEXT(ROW(C84),"000")</f>
        <v>Ord-07-23-084</v>
      </c>
      <c r="D1134" s="6" t="s">
        <v>18</v>
      </c>
      <c r="E1134" s="10" t="s">
        <v>27</v>
      </c>
      <c r="F1134" s="10" t="s">
        <v>42</v>
      </c>
      <c r="G1134" s="10" t="s">
        <v>42</v>
      </c>
      <c r="H1134" s="13">
        <v>2500</v>
      </c>
      <c r="I1134" s="7">
        <v>1</v>
      </c>
      <c r="J1134" s="6">
        <f>H1134*I1134</f>
        <v>2500</v>
      </c>
    </row>
    <row r="1135" spans="2:10" ht="20.100000000000001" customHeight="1" x14ac:dyDescent="0.25">
      <c r="B1135" s="5">
        <v>45124</v>
      </c>
      <c r="C1135" s="8" t="str">
        <f>"Ord-07-23-"&amp;TEXT(ROW(C85),"000")</f>
        <v>Ord-07-23-085</v>
      </c>
      <c r="D1135" s="6" t="s">
        <v>11</v>
      </c>
      <c r="E1135" s="10" t="s">
        <v>27</v>
      </c>
      <c r="F1135" s="10" t="s">
        <v>50</v>
      </c>
      <c r="G1135" s="10" t="s">
        <v>54</v>
      </c>
      <c r="H1135" s="13">
        <v>3200</v>
      </c>
      <c r="I1135" s="7">
        <v>5</v>
      </c>
      <c r="J1135" s="6">
        <f>H1135*I1135</f>
        <v>16000</v>
      </c>
    </row>
    <row r="1136" spans="2:10" ht="20.100000000000001" customHeight="1" x14ac:dyDescent="0.25">
      <c r="B1136" s="5">
        <v>45125</v>
      </c>
      <c r="C1136" s="8" t="str">
        <f>"Ord-07-23-"&amp;TEXT(ROW(C86),"000")</f>
        <v>Ord-07-23-086</v>
      </c>
      <c r="D1136" s="6" t="s">
        <v>19</v>
      </c>
      <c r="E1136" s="10" t="s">
        <v>35</v>
      </c>
      <c r="F1136" s="12" t="s">
        <v>90</v>
      </c>
      <c r="G1136" s="10" t="s">
        <v>77</v>
      </c>
      <c r="H1136" s="13">
        <v>8500</v>
      </c>
      <c r="I1136" s="7">
        <v>3</v>
      </c>
      <c r="J1136" s="6">
        <f>H1136*I1136</f>
        <v>25500</v>
      </c>
    </row>
    <row r="1137" spans="2:10" ht="20.100000000000001" customHeight="1" x14ac:dyDescent="0.25">
      <c r="B1137" s="5">
        <v>45125</v>
      </c>
      <c r="C1137" s="8" t="str">
        <f>"Ord-07-23-"&amp;TEXT(ROW(C87),"000")</f>
        <v>Ord-07-23-087</v>
      </c>
      <c r="D1137" s="6" t="s">
        <v>23</v>
      </c>
      <c r="E1137" s="10" t="s">
        <v>33</v>
      </c>
      <c r="F1137" s="10" t="s">
        <v>47</v>
      </c>
      <c r="G1137" s="10" t="s">
        <v>65</v>
      </c>
      <c r="H1137" s="13">
        <v>25</v>
      </c>
      <c r="I1137" s="7">
        <v>400</v>
      </c>
      <c r="J1137" s="6">
        <f>H1137*I1137</f>
        <v>10000</v>
      </c>
    </row>
    <row r="1138" spans="2:10" ht="20.100000000000001" customHeight="1" x14ac:dyDescent="0.25">
      <c r="B1138" s="5">
        <v>45125</v>
      </c>
      <c r="C1138" s="8" t="str">
        <f>"Ord-07-23-"&amp;TEXT(ROW(C88),"000")</f>
        <v>Ord-07-23-088</v>
      </c>
      <c r="D1138" s="6" t="s">
        <v>14</v>
      </c>
      <c r="E1138" s="10" t="s">
        <v>31</v>
      </c>
      <c r="F1138" s="10" t="s">
        <v>45</v>
      </c>
      <c r="G1138" s="10" t="s">
        <v>66</v>
      </c>
      <c r="H1138" s="13">
        <v>2300</v>
      </c>
      <c r="I1138" s="7">
        <v>3</v>
      </c>
      <c r="J1138" s="6">
        <f>H1138*I1138</f>
        <v>6900</v>
      </c>
    </row>
    <row r="1139" spans="2:10" ht="20.100000000000001" customHeight="1" x14ac:dyDescent="0.25">
      <c r="B1139" s="5">
        <v>45125</v>
      </c>
      <c r="C1139" s="8" t="str">
        <f>"Ord-07-23-"&amp;TEXT(ROW(C89),"000")</f>
        <v>Ord-07-23-089</v>
      </c>
      <c r="D1139" s="6" t="s">
        <v>21</v>
      </c>
      <c r="E1139" s="10" t="s">
        <v>31</v>
      </c>
      <c r="F1139" s="10" t="s">
        <v>45</v>
      </c>
      <c r="G1139" s="10" t="s">
        <v>59</v>
      </c>
      <c r="H1139" s="13">
        <v>4000</v>
      </c>
      <c r="I1139" s="7">
        <v>5</v>
      </c>
      <c r="J1139" s="6">
        <f>H1139*I1139</f>
        <v>20000</v>
      </c>
    </row>
    <row r="1140" spans="2:10" ht="20.100000000000001" customHeight="1" x14ac:dyDescent="0.25">
      <c r="B1140" s="5">
        <v>45125</v>
      </c>
      <c r="C1140" s="8" t="str">
        <f>"Ord-07-23-"&amp;TEXT(ROW(C90),"000")</f>
        <v>Ord-07-23-090</v>
      </c>
      <c r="D1140" s="6" t="s">
        <v>21</v>
      </c>
      <c r="E1140" s="10" t="s">
        <v>34</v>
      </c>
      <c r="F1140" s="10" t="s">
        <v>49</v>
      </c>
      <c r="G1140" s="10" t="s">
        <v>75</v>
      </c>
      <c r="H1140" s="13">
        <v>4300</v>
      </c>
      <c r="I1140" s="7">
        <v>4</v>
      </c>
      <c r="J1140" s="6">
        <f>H1140*I1140</f>
        <v>17200</v>
      </c>
    </row>
    <row r="1141" spans="2:10" ht="20.100000000000001" customHeight="1" x14ac:dyDescent="0.25">
      <c r="B1141" s="5">
        <v>45126</v>
      </c>
      <c r="C1141" s="8" t="str">
        <f>"Ord-07-23-"&amp;TEXT(ROW(C91),"000")</f>
        <v>Ord-07-23-091</v>
      </c>
      <c r="D1141" s="6" t="s">
        <v>8</v>
      </c>
      <c r="E1141" s="10" t="s">
        <v>31</v>
      </c>
      <c r="F1141" s="10" t="s">
        <v>48</v>
      </c>
      <c r="G1141" s="10" t="s">
        <v>82</v>
      </c>
      <c r="H1141" s="13">
        <v>8500</v>
      </c>
      <c r="I1141" s="7">
        <v>5</v>
      </c>
      <c r="J1141" s="6">
        <f>H1141*I1141</f>
        <v>42500</v>
      </c>
    </row>
    <row r="1142" spans="2:10" ht="20.100000000000001" customHeight="1" x14ac:dyDescent="0.25">
      <c r="B1142" s="5">
        <v>45126</v>
      </c>
      <c r="C1142" s="8" t="str">
        <f>"Ord-07-23-"&amp;TEXT(ROW(C92),"000")</f>
        <v>Ord-07-23-092</v>
      </c>
      <c r="D1142" s="6" t="s">
        <v>22</v>
      </c>
      <c r="E1142" s="10" t="s">
        <v>30</v>
      </c>
      <c r="F1142" s="10" t="s">
        <v>90</v>
      </c>
      <c r="G1142" s="10" t="s">
        <v>59</v>
      </c>
      <c r="H1142" s="13">
        <v>4800</v>
      </c>
      <c r="I1142" s="7">
        <v>4</v>
      </c>
      <c r="J1142" s="6">
        <f>H1142*I1142</f>
        <v>19200</v>
      </c>
    </row>
    <row r="1143" spans="2:10" ht="20.100000000000001" customHeight="1" x14ac:dyDescent="0.25">
      <c r="B1143" s="5">
        <v>45126</v>
      </c>
      <c r="C1143" s="8" t="str">
        <f>"Ord-07-23-"&amp;TEXT(ROW(C93),"000")</f>
        <v>Ord-07-23-093</v>
      </c>
      <c r="D1143" s="6" t="s">
        <v>14</v>
      </c>
      <c r="E1143" s="10" t="s">
        <v>30</v>
      </c>
      <c r="F1143" s="10" t="s">
        <v>90</v>
      </c>
      <c r="G1143" s="10" t="s">
        <v>86</v>
      </c>
      <c r="H1143" s="13">
        <v>7500</v>
      </c>
      <c r="I1143" s="7">
        <v>5</v>
      </c>
      <c r="J1143" s="6">
        <f>H1143*I1143</f>
        <v>37500</v>
      </c>
    </row>
    <row r="1144" spans="2:10" ht="20.100000000000001" customHeight="1" x14ac:dyDescent="0.25">
      <c r="B1144" s="5">
        <v>45126</v>
      </c>
      <c r="C1144" s="8" t="str">
        <f>"Ord-07-23-"&amp;TEXT(ROW(C94),"000")</f>
        <v>Ord-07-23-094</v>
      </c>
      <c r="D1144" s="6" t="s">
        <v>16</v>
      </c>
      <c r="E1144" s="10" t="s">
        <v>27</v>
      </c>
      <c r="F1144" s="10" t="s">
        <v>42</v>
      </c>
      <c r="G1144" s="10" t="s">
        <v>42</v>
      </c>
      <c r="H1144" s="13">
        <v>2500</v>
      </c>
      <c r="I1144" s="7">
        <v>3</v>
      </c>
      <c r="J1144" s="6">
        <f>H1144*I1144</f>
        <v>7500</v>
      </c>
    </row>
    <row r="1145" spans="2:10" ht="20.100000000000001" customHeight="1" x14ac:dyDescent="0.25">
      <c r="B1145" s="5">
        <v>45126</v>
      </c>
      <c r="C1145" s="8" t="str">
        <f>"Ord-07-23-"&amp;TEXT(ROW(C95),"000")</f>
        <v>Ord-07-23-095</v>
      </c>
      <c r="D1145" s="6" t="s">
        <v>14</v>
      </c>
      <c r="E1145" s="10" t="s">
        <v>27</v>
      </c>
      <c r="F1145" s="10" t="s">
        <v>37</v>
      </c>
      <c r="G1145" s="10" t="s">
        <v>64</v>
      </c>
      <c r="H1145" s="13">
        <v>4500</v>
      </c>
      <c r="I1145" s="7">
        <v>2</v>
      </c>
      <c r="J1145" s="6">
        <f>H1145*I1145</f>
        <v>9000</v>
      </c>
    </row>
    <row r="1146" spans="2:10" ht="20.100000000000001" customHeight="1" x14ac:dyDescent="0.25">
      <c r="B1146" s="5">
        <v>45127</v>
      </c>
      <c r="C1146" s="8" t="str">
        <f>"Ord-07-23-"&amp;TEXT(ROW(C96),"000")</f>
        <v>Ord-07-23-096</v>
      </c>
      <c r="D1146" s="6" t="s">
        <v>22</v>
      </c>
      <c r="E1146" s="10" t="s">
        <v>33</v>
      </c>
      <c r="F1146" s="10" t="s">
        <v>47</v>
      </c>
      <c r="G1146" s="10" t="s">
        <v>65</v>
      </c>
      <c r="H1146" s="13">
        <v>25</v>
      </c>
      <c r="I1146" s="7">
        <v>300</v>
      </c>
      <c r="J1146" s="6">
        <f>H1146*I1146</f>
        <v>7500</v>
      </c>
    </row>
    <row r="1147" spans="2:10" ht="20.100000000000001" customHeight="1" x14ac:dyDescent="0.25">
      <c r="B1147" s="5">
        <v>45127</v>
      </c>
      <c r="C1147" s="8" t="str">
        <f>"Ord-07-23-"&amp;TEXT(ROW(C97),"000")</f>
        <v>Ord-07-23-097</v>
      </c>
      <c r="D1147" s="6" t="s">
        <v>23</v>
      </c>
      <c r="E1147" s="10" t="s">
        <v>33</v>
      </c>
      <c r="F1147" s="10" t="s">
        <v>47</v>
      </c>
      <c r="G1147" s="10" t="s">
        <v>65</v>
      </c>
      <c r="H1147" s="13">
        <v>25</v>
      </c>
      <c r="I1147" s="7">
        <v>300</v>
      </c>
      <c r="J1147" s="6">
        <f>H1147*I1147</f>
        <v>7500</v>
      </c>
    </row>
    <row r="1148" spans="2:10" ht="20.100000000000001" customHeight="1" x14ac:dyDescent="0.25">
      <c r="B1148" s="5">
        <v>45127</v>
      </c>
      <c r="C1148" s="8" t="str">
        <f>"Ord-07-23-"&amp;TEXT(ROW(C98),"000")</f>
        <v>Ord-07-23-098</v>
      </c>
      <c r="D1148" s="6" t="s">
        <v>24</v>
      </c>
      <c r="E1148" s="10" t="s">
        <v>29</v>
      </c>
      <c r="F1148" s="10" t="s">
        <v>39</v>
      </c>
      <c r="G1148" s="10" t="s">
        <v>56</v>
      </c>
      <c r="H1148" s="13">
        <v>2500</v>
      </c>
      <c r="I1148" s="7">
        <v>1</v>
      </c>
      <c r="J1148" s="6">
        <f>H1148*I1148</f>
        <v>2500</v>
      </c>
    </row>
    <row r="1149" spans="2:10" ht="20.100000000000001" customHeight="1" x14ac:dyDescent="0.25">
      <c r="B1149" s="5">
        <v>45127</v>
      </c>
      <c r="C1149" s="8" t="str">
        <f>"Ord-07-23-"&amp;TEXT(ROW(C99),"000")</f>
        <v>Ord-07-23-099</v>
      </c>
      <c r="D1149" s="6" t="s">
        <v>12</v>
      </c>
      <c r="E1149" s="10" t="s">
        <v>27</v>
      </c>
      <c r="F1149" s="10" t="s">
        <v>41</v>
      </c>
      <c r="G1149" s="10" t="s">
        <v>64</v>
      </c>
      <c r="H1149" s="13">
        <v>2500</v>
      </c>
      <c r="I1149" s="7">
        <v>5</v>
      </c>
      <c r="J1149" s="6">
        <f>H1149*I1149</f>
        <v>12500</v>
      </c>
    </row>
    <row r="1150" spans="2:10" ht="20.100000000000001" customHeight="1" x14ac:dyDescent="0.25">
      <c r="B1150" s="5">
        <v>45127</v>
      </c>
      <c r="C1150" s="8" t="str">
        <f>"Ord-07-23-"&amp;TEXT(ROW(C100),"000")</f>
        <v>Ord-07-23-100</v>
      </c>
      <c r="D1150" s="6" t="s">
        <v>26</v>
      </c>
      <c r="E1150" s="10" t="s">
        <v>34</v>
      </c>
      <c r="F1150" s="10" t="s">
        <v>49</v>
      </c>
      <c r="G1150" s="10" t="s">
        <v>68</v>
      </c>
      <c r="H1150" s="13">
        <v>4000</v>
      </c>
      <c r="I1150" s="7">
        <v>4</v>
      </c>
      <c r="J1150" s="6">
        <f>H1150*I1150</f>
        <v>16000</v>
      </c>
    </row>
    <row r="1151" spans="2:10" ht="20.100000000000001" customHeight="1" x14ac:dyDescent="0.25">
      <c r="B1151" s="5">
        <v>45128</v>
      </c>
      <c r="C1151" s="8" t="str">
        <f>"Ord-07-23-"&amp;TEXT(ROW(C101),"000")</f>
        <v>Ord-07-23-101</v>
      </c>
      <c r="D1151" s="6" t="s">
        <v>21</v>
      </c>
      <c r="E1151" s="10" t="s">
        <v>32</v>
      </c>
      <c r="F1151" s="10" t="s">
        <v>44</v>
      </c>
      <c r="G1151" s="10" t="s">
        <v>72</v>
      </c>
      <c r="H1151" s="13">
        <v>2200</v>
      </c>
      <c r="I1151" s="7">
        <v>2</v>
      </c>
      <c r="J1151" s="6">
        <f>H1151*I1151</f>
        <v>4400</v>
      </c>
    </row>
    <row r="1152" spans="2:10" ht="20.100000000000001" customHeight="1" x14ac:dyDescent="0.25">
      <c r="B1152" s="5">
        <v>45128</v>
      </c>
      <c r="C1152" s="8" t="str">
        <f>"Ord-07-23-"&amp;TEXT(ROW(C102),"000")</f>
        <v>Ord-07-23-102</v>
      </c>
      <c r="D1152" s="6" t="s">
        <v>22</v>
      </c>
      <c r="E1152" s="10" t="s">
        <v>31</v>
      </c>
      <c r="F1152" s="10" t="s">
        <v>52</v>
      </c>
      <c r="G1152" s="10" t="s">
        <v>66</v>
      </c>
      <c r="H1152" s="13">
        <v>3200</v>
      </c>
      <c r="I1152" s="7">
        <v>5</v>
      </c>
      <c r="J1152" s="6">
        <f>H1152*I1152</f>
        <v>16000</v>
      </c>
    </row>
    <row r="1153" spans="2:10" ht="20.100000000000001" customHeight="1" x14ac:dyDescent="0.25">
      <c r="B1153" s="5">
        <v>45128</v>
      </c>
      <c r="C1153" s="8" t="str">
        <f>"Ord-07-23-"&amp;TEXT(ROW(C103),"000")</f>
        <v>Ord-07-23-103</v>
      </c>
      <c r="D1153" s="6" t="s">
        <v>13</v>
      </c>
      <c r="E1153" s="10" t="s">
        <v>29</v>
      </c>
      <c r="F1153" s="10" t="s">
        <v>40</v>
      </c>
      <c r="G1153" s="10" t="s">
        <v>57</v>
      </c>
      <c r="H1153" s="13">
        <v>4000</v>
      </c>
      <c r="I1153" s="7">
        <v>5</v>
      </c>
      <c r="J1153" s="6">
        <f>H1153*I1153</f>
        <v>20000</v>
      </c>
    </row>
    <row r="1154" spans="2:10" ht="20.100000000000001" customHeight="1" x14ac:dyDescent="0.25">
      <c r="B1154" s="5">
        <v>45128</v>
      </c>
      <c r="C1154" s="8" t="str">
        <f>"Ord-07-23-"&amp;TEXT(ROW(C104),"000")</f>
        <v>Ord-07-23-104</v>
      </c>
      <c r="D1154" s="6" t="s">
        <v>10</v>
      </c>
      <c r="E1154" s="10" t="s">
        <v>27</v>
      </c>
      <c r="F1154" s="10" t="s">
        <v>42</v>
      </c>
      <c r="G1154" s="10" t="s">
        <v>42</v>
      </c>
      <c r="H1154" s="13">
        <v>2500</v>
      </c>
      <c r="I1154" s="7">
        <v>4</v>
      </c>
      <c r="J1154" s="6">
        <f>H1154*I1154</f>
        <v>10000</v>
      </c>
    </row>
    <row r="1155" spans="2:10" ht="20.100000000000001" customHeight="1" x14ac:dyDescent="0.25">
      <c r="B1155" s="5">
        <v>45128</v>
      </c>
      <c r="C1155" s="8" t="str">
        <f>"Ord-07-23-"&amp;TEXT(ROW(C105),"000")</f>
        <v>Ord-07-23-105</v>
      </c>
      <c r="D1155" s="6" t="s">
        <v>10</v>
      </c>
      <c r="E1155" s="10" t="s">
        <v>27</v>
      </c>
      <c r="F1155" s="10" t="s">
        <v>37</v>
      </c>
      <c r="G1155" s="10" t="s">
        <v>54</v>
      </c>
      <c r="H1155" s="13">
        <v>5000</v>
      </c>
      <c r="I1155" s="7">
        <v>2</v>
      </c>
      <c r="J1155" s="6">
        <f>H1155*I1155</f>
        <v>10000</v>
      </c>
    </row>
    <row r="1156" spans="2:10" ht="20.100000000000001" customHeight="1" x14ac:dyDescent="0.25">
      <c r="B1156" s="5">
        <v>45129</v>
      </c>
      <c r="C1156" s="8" t="str">
        <f>"Ord-07-23-"&amp;TEXT(ROW(C106),"000")</f>
        <v>Ord-07-23-106</v>
      </c>
      <c r="D1156" s="6" t="s">
        <v>17</v>
      </c>
      <c r="E1156" s="10" t="s">
        <v>28</v>
      </c>
      <c r="F1156" s="10" t="s">
        <v>28</v>
      </c>
      <c r="G1156" s="10" t="s">
        <v>58</v>
      </c>
      <c r="H1156" s="13">
        <v>1000</v>
      </c>
      <c r="I1156" s="7">
        <v>1</v>
      </c>
      <c r="J1156" s="6">
        <f>H1156*I1156</f>
        <v>1000</v>
      </c>
    </row>
    <row r="1157" spans="2:10" ht="20.100000000000001" customHeight="1" x14ac:dyDescent="0.25">
      <c r="B1157" s="5">
        <v>45129</v>
      </c>
      <c r="C1157" s="8" t="str">
        <f>"Ord-07-23-"&amp;TEXT(ROW(C107),"000")</f>
        <v>Ord-07-23-107</v>
      </c>
      <c r="D1157" s="6" t="s">
        <v>14</v>
      </c>
      <c r="E1157" s="10" t="s">
        <v>33</v>
      </c>
      <c r="F1157" s="10" t="s">
        <v>47</v>
      </c>
      <c r="G1157" s="10" t="s">
        <v>65</v>
      </c>
      <c r="H1157" s="13">
        <v>25</v>
      </c>
      <c r="I1157" s="7">
        <v>500</v>
      </c>
      <c r="J1157" s="6">
        <f>H1157*I1157</f>
        <v>12500</v>
      </c>
    </row>
    <row r="1158" spans="2:10" ht="20.100000000000001" customHeight="1" x14ac:dyDescent="0.25">
      <c r="B1158" s="5">
        <v>45129</v>
      </c>
      <c r="C1158" s="8" t="str">
        <f>"Ord-07-23-"&amp;TEXT(ROW(C108),"000")</f>
        <v>Ord-07-23-108</v>
      </c>
      <c r="D1158" s="6" t="s">
        <v>9</v>
      </c>
      <c r="E1158" s="10" t="s">
        <v>31</v>
      </c>
      <c r="F1158" s="10" t="s">
        <v>45</v>
      </c>
      <c r="G1158" s="10" t="s">
        <v>66</v>
      </c>
      <c r="H1158" s="13">
        <v>2300</v>
      </c>
      <c r="I1158" s="7">
        <v>3</v>
      </c>
      <c r="J1158" s="6">
        <f>H1158*I1158</f>
        <v>6900</v>
      </c>
    </row>
    <row r="1159" spans="2:10" ht="20.100000000000001" customHeight="1" x14ac:dyDescent="0.25">
      <c r="B1159" s="5">
        <v>45129</v>
      </c>
      <c r="C1159" s="8" t="str">
        <f>"Ord-07-23-"&amp;TEXT(ROW(C109),"000")</f>
        <v>Ord-07-23-109</v>
      </c>
      <c r="D1159" s="6" t="s">
        <v>18</v>
      </c>
      <c r="E1159" s="10" t="s">
        <v>30</v>
      </c>
      <c r="F1159" s="10" t="s">
        <v>90</v>
      </c>
      <c r="G1159" s="10" t="s">
        <v>59</v>
      </c>
      <c r="H1159" s="13">
        <v>4800</v>
      </c>
      <c r="I1159" s="7">
        <v>2</v>
      </c>
      <c r="J1159" s="6">
        <f>H1159*I1159</f>
        <v>9600</v>
      </c>
    </row>
    <row r="1160" spans="2:10" ht="20.100000000000001" customHeight="1" x14ac:dyDescent="0.25">
      <c r="B1160" s="5">
        <v>45129</v>
      </c>
      <c r="C1160" s="8" t="str">
        <f>"Ord-07-23-"&amp;TEXT(ROW(C110),"000")</f>
        <v>Ord-07-23-110</v>
      </c>
      <c r="D1160" s="6" t="s">
        <v>10</v>
      </c>
      <c r="E1160" s="10" t="s">
        <v>27</v>
      </c>
      <c r="F1160" s="10" t="s">
        <v>41</v>
      </c>
      <c r="G1160" s="10" t="s">
        <v>64</v>
      </c>
      <c r="H1160" s="13">
        <v>2500</v>
      </c>
      <c r="I1160" s="7">
        <v>2</v>
      </c>
      <c r="J1160" s="6">
        <f>H1160*I1160</f>
        <v>5000</v>
      </c>
    </row>
    <row r="1161" spans="2:10" ht="20.100000000000001" customHeight="1" x14ac:dyDescent="0.25">
      <c r="B1161" s="5">
        <v>45130</v>
      </c>
      <c r="C1161" s="8" t="str">
        <f>"Ord-07-23-"&amp;TEXT(ROW(C111),"000")</f>
        <v>Ord-07-23-111</v>
      </c>
      <c r="D1161" s="6" t="s">
        <v>16</v>
      </c>
      <c r="E1161" s="10" t="s">
        <v>32</v>
      </c>
      <c r="F1161" s="10" t="s">
        <v>44</v>
      </c>
      <c r="G1161" s="10" t="s">
        <v>87</v>
      </c>
      <c r="H1161" s="13">
        <v>1500</v>
      </c>
      <c r="I1161" s="7">
        <v>5</v>
      </c>
      <c r="J1161" s="6">
        <f>H1161*I1161</f>
        <v>7500</v>
      </c>
    </row>
    <row r="1162" spans="2:10" ht="20.100000000000001" customHeight="1" x14ac:dyDescent="0.25">
      <c r="B1162" s="5">
        <v>45130</v>
      </c>
      <c r="C1162" s="8" t="str">
        <f>"Ord-07-23-"&amp;TEXT(ROW(C112),"000")</f>
        <v>Ord-07-23-112</v>
      </c>
      <c r="D1162" s="6" t="s">
        <v>8</v>
      </c>
      <c r="E1162" s="10" t="s">
        <v>31</v>
      </c>
      <c r="F1162" s="10" t="s">
        <v>43</v>
      </c>
      <c r="G1162" s="10" t="s">
        <v>66</v>
      </c>
      <c r="H1162" s="13">
        <v>4500</v>
      </c>
      <c r="I1162" s="7">
        <v>3</v>
      </c>
      <c r="J1162" s="6">
        <f>H1162*I1162</f>
        <v>13500</v>
      </c>
    </row>
    <row r="1163" spans="2:10" ht="20.100000000000001" customHeight="1" x14ac:dyDescent="0.25">
      <c r="B1163" s="5">
        <v>45130</v>
      </c>
      <c r="C1163" s="8" t="str">
        <f>"Ord-07-23-"&amp;TEXT(ROW(C113),"000")</f>
        <v>Ord-07-23-113</v>
      </c>
      <c r="D1163" s="6" t="s">
        <v>26</v>
      </c>
      <c r="E1163" s="10" t="s">
        <v>36</v>
      </c>
      <c r="F1163" s="10" t="s">
        <v>36</v>
      </c>
      <c r="G1163" s="10" t="s">
        <v>85</v>
      </c>
      <c r="H1163" s="13">
        <v>2200</v>
      </c>
      <c r="I1163" s="7">
        <v>1</v>
      </c>
      <c r="J1163" s="6">
        <f>H1163*I1163</f>
        <v>2200</v>
      </c>
    </row>
    <row r="1164" spans="2:10" ht="20.100000000000001" customHeight="1" x14ac:dyDescent="0.25">
      <c r="B1164" s="5">
        <v>45130</v>
      </c>
      <c r="C1164" s="8" t="str">
        <f>"Ord-07-23-"&amp;TEXT(ROW(C114),"000")</f>
        <v>Ord-07-23-114</v>
      </c>
      <c r="D1164" s="6" t="s">
        <v>19</v>
      </c>
      <c r="E1164" s="10" t="s">
        <v>27</v>
      </c>
      <c r="F1164" s="10" t="s">
        <v>50</v>
      </c>
      <c r="G1164" s="10" t="s">
        <v>53</v>
      </c>
      <c r="H1164" s="13">
        <v>3500</v>
      </c>
      <c r="I1164" s="7">
        <v>2</v>
      </c>
      <c r="J1164" s="6">
        <f>H1164*I1164</f>
        <v>7000</v>
      </c>
    </row>
    <row r="1165" spans="2:10" ht="20.100000000000001" customHeight="1" x14ac:dyDescent="0.25">
      <c r="B1165" s="5">
        <v>45130</v>
      </c>
      <c r="C1165" s="8" t="str">
        <f>"Ord-07-23-"&amp;TEXT(ROW(C115),"000")</f>
        <v>Ord-07-23-115</v>
      </c>
      <c r="D1165" s="6" t="s">
        <v>16</v>
      </c>
      <c r="E1165" s="10" t="s">
        <v>32</v>
      </c>
      <c r="F1165" s="10" t="s">
        <v>44</v>
      </c>
      <c r="G1165" s="10" t="s">
        <v>87</v>
      </c>
      <c r="H1165" s="10">
        <v>1500</v>
      </c>
      <c r="I1165" s="6">
        <v>1</v>
      </c>
      <c r="J1165" s="6">
        <f>H1165*I1165</f>
        <v>1500</v>
      </c>
    </row>
    <row r="1166" spans="2:10" ht="20.100000000000001" customHeight="1" x14ac:dyDescent="0.25">
      <c r="B1166" s="5">
        <v>45130</v>
      </c>
      <c r="C1166" s="8" t="str">
        <f>"Ord-07-23-"&amp;TEXT(ROW(C116),"000")</f>
        <v>Ord-07-23-116</v>
      </c>
      <c r="D1166" s="6" t="s">
        <v>26</v>
      </c>
      <c r="E1166" s="10" t="s">
        <v>36</v>
      </c>
      <c r="F1166" s="10" t="s">
        <v>36</v>
      </c>
      <c r="G1166" s="10" t="s">
        <v>85</v>
      </c>
      <c r="H1166" s="10">
        <v>2200</v>
      </c>
      <c r="I1166" s="6">
        <v>2</v>
      </c>
      <c r="J1166" s="6">
        <f>H1166*I1166</f>
        <v>4400</v>
      </c>
    </row>
    <row r="1167" spans="2:10" ht="20.100000000000001" customHeight="1" x14ac:dyDescent="0.25">
      <c r="B1167" s="5">
        <v>45130</v>
      </c>
      <c r="C1167" s="8" t="str">
        <f>"Ord-07-23-"&amp;TEXT(ROW(C117),"000")</f>
        <v>Ord-07-23-117</v>
      </c>
      <c r="D1167" s="6" t="s">
        <v>16</v>
      </c>
      <c r="E1167" s="10" t="s">
        <v>34</v>
      </c>
      <c r="F1167" s="10" t="s">
        <v>49</v>
      </c>
      <c r="G1167" s="10" t="s">
        <v>75</v>
      </c>
      <c r="H1167" s="13">
        <v>4300</v>
      </c>
      <c r="I1167" s="6">
        <v>3</v>
      </c>
      <c r="J1167" s="6">
        <f>H1167*I1167</f>
        <v>12900</v>
      </c>
    </row>
    <row r="1168" spans="2:10" ht="20.100000000000001" customHeight="1" x14ac:dyDescent="0.25">
      <c r="B1168" s="5">
        <v>45131</v>
      </c>
      <c r="C1168" s="8" t="str">
        <f>"Ord-07-23-"&amp;TEXT(ROW(C118),"000")</f>
        <v>Ord-07-23-118</v>
      </c>
      <c r="D1168" s="6" t="s">
        <v>24</v>
      </c>
      <c r="E1168" s="10" t="s">
        <v>35</v>
      </c>
      <c r="F1168" s="12" t="s">
        <v>90</v>
      </c>
      <c r="G1168" s="10" t="s">
        <v>71</v>
      </c>
      <c r="H1168" s="10">
        <v>5500</v>
      </c>
      <c r="I1168" s="6">
        <v>6</v>
      </c>
      <c r="J1168" s="6">
        <f>H1168*I1168</f>
        <v>33000</v>
      </c>
    </row>
    <row r="1169" spans="2:10" ht="20.100000000000001" customHeight="1" x14ac:dyDescent="0.25">
      <c r="B1169" s="5">
        <v>45131</v>
      </c>
      <c r="C1169" s="8" t="str">
        <f>"Ord-07-23-"&amp;TEXT(ROW(C119),"000")</f>
        <v>Ord-07-23-119</v>
      </c>
      <c r="D1169" s="6" t="s">
        <v>25</v>
      </c>
      <c r="E1169" s="10" t="s">
        <v>35</v>
      </c>
      <c r="F1169" s="12" t="s">
        <v>90</v>
      </c>
      <c r="G1169" s="10" t="s">
        <v>58</v>
      </c>
      <c r="H1169" s="10">
        <v>7500</v>
      </c>
      <c r="I1169" s="6">
        <v>5</v>
      </c>
      <c r="J1169" s="6">
        <f>H1169*I1169</f>
        <v>37500</v>
      </c>
    </row>
    <row r="1170" spans="2:10" ht="20.100000000000001" customHeight="1" x14ac:dyDescent="0.25">
      <c r="B1170" s="5">
        <v>45131</v>
      </c>
      <c r="C1170" s="8" t="str">
        <f>"Ord-07-23-"&amp;TEXT(ROW(C120),"000")</f>
        <v>Ord-07-23-120</v>
      </c>
      <c r="D1170" s="6" t="s">
        <v>16</v>
      </c>
      <c r="E1170" s="10" t="s">
        <v>29</v>
      </c>
      <c r="F1170" s="10" t="s">
        <v>40</v>
      </c>
      <c r="G1170" s="10" t="s">
        <v>84</v>
      </c>
      <c r="H1170" s="10">
        <v>7500</v>
      </c>
      <c r="I1170" s="6">
        <v>4</v>
      </c>
      <c r="J1170" s="6">
        <f>H1170*I1170</f>
        <v>30000</v>
      </c>
    </row>
    <row r="1171" spans="2:10" ht="20.100000000000001" customHeight="1" x14ac:dyDescent="0.25">
      <c r="B1171" s="5">
        <v>45131</v>
      </c>
      <c r="C1171" s="8" t="str">
        <f>"Ord-07-23-"&amp;TEXT(ROW(C121),"000")</f>
        <v>Ord-07-23-121</v>
      </c>
      <c r="D1171" s="6" t="s">
        <v>16</v>
      </c>
      <c r="E1171" s="10" t="s">
        <v>30</v>
      </c>
      <c r="F1171" s="10" t="s">
        <v>90</v>
      </c>
      <c r="G1171" s="10" t="s">
        <v>59</v>
      </c>
      <c r="H1171" s="10">
        <v>4800</v>
      </c>
      <c r="I1171" s="6">
        <v>2</v>
      </c>
      <c r="J1171" s="6">
        <f>H1171*I1171</f>
        <v>9600</v>
      </c>
    </row>
    <row r="1172" spans="2:10" ht="20.100000000000001" customHeight="1" x14ac:dyDescent="0.25">
      <c r="B1172" s="5">
        <v>45131</v>
      </c>
      <c r="C1172" s="8" t="str">
        <f>"Ord-07-23-"&amp;TEXT(ROW(C122),"000")</f>
        <v>Ord-07-23-122</v>
      </c>
      <c r="D1172" s="6" t="s">
        <v>18</v>
      </c>
      <c r="E1172" s="10" t="s">
        <v>27</v>
      </c>
      <c r="F1172" s="10" t="s">
        <v>41</v>
      </c>
      <c r="G1172" s="10" t="s">
        <v>54</v>
      </c>
      <c r="H1172" s="10">
        <v>2800</v>
      </c>
      <c r="I1172" s="6">
        <v>4</v>
      </c>
      <c r="J1172" s="6">
        <f>H1172*I1172</f>
        <v>11200</v>
      </c>
    </row>
    <row r="1173" spans="2:10" ht="20.100000000000001" customHeight="1" x14ac:dyDescent="0.25">
      <c r="B1173" s="5">
        <v>45132</v>
      </c>
      <c r="C1173" s="8" t="str">
        <f>"Ord-07-23-"&amp;TEXT(ROW(C123),"000")</f>
        <v>Ord-07-23-123</v>
      </c>
      <c r="D1173" s="6" t="s">
        <v>17</v>
      </c>
      <c r="E1173" s="10" t="s">
        <v>35</v>
      </c>
      <c r="F1173" s="12" t="s">
        <v>90</v>
      </c>
      <c r="G1173" s="10" t="s">
        <v>77</v>
      </c>
      <c r="H1173" s="10">
        <v>8500</v>
      </c>
      <c r="I1173" s="6">
        <v>1</v>
      </c>
      <c r="J1173" s="6">
        <f>H1173*I1173</f>
        <v>8500</v>
      </c>
    </row>
    <row r="1174" spans="2:10" ht="20.100000000000001" customHeight="1" x14ac:dyDescent="0.25">
      <c r="B1174" s="5">
        <v>45132</v>
      </c>
      <c r="C1174" s="8" t="str">
        <f>"Ord-07-23-"&amp;TEXT(ROW(C124),"000")</f>
        <v>Ord-07-23-124</v>
      </c>
      <c r="D1174" s="6" t="s">
        <v>8</v>
      </c>
      <c r="E1174" s="10" t="s">
        <v>33</v>
      </c>
      <c r="F1174" s="10" t="s">
        <v>46</v>
      </c>
      <c r="G1174" s="10" t="s">
        <v>65</v>
      </c>
      <c r="H1174" s="10">
        <v>15</v>
      </c>
      <c r="I1174" s="6">
        <v>550</v>
      </c>
      <c r="J1174" s="6">
        <f>H1174*I1174</f>
        <v>8250</v>
      </c>
    </row>
    <row r="1175" spans="2:10" ht="20.100000000000001" customHeight="1" x14ac:dyDescent="0.25">
      <c r="B1175" s="5">
        <v>45132</v>
      </c>
      <c r="C1175" s="8" t="str">
        <f>"Ord-07-23-"&amp;TEXT(ROW(C125),"000")</f>
        <v>Ord-07-23-125</v>
      </c>
      <c r="D1175" s="6" t="s">
        <v>17</v>
      </c>
      <c r="E1175" s="10" t="s">
        <v>31</v>
      </c>
      <c r="F1175" s="10" t="s">
        <v>43</v>
      </c>
      <c r="G1175" s="10" t="s">
        <v>63</v>
      </c>
      <c r="H1175" s="10">
        <v>4200</v>
      </c>
      <c r="I1175" s="6">
        <v>1</v>
      </c>
      <c r="J1175" s="6">
        <f>H1175*I1175</f>
        <v>4200</v>
      </c>
    </row>
    <row r="1176" spans="2:10" ht="20.100000000000001" customHeight="1" x14ac:dyDescent="0.25">
      <c r="B1176" s="5">
        <v>45132</v>
      </c>
      <c r="C1176" s="8" t="str">
        <f>"Ord-07-23-"&amp;TEXT(ROW(C126),"000")</f>
        <v>Ord-07-23-126</v>
      </c>
      <c r="D1176" s="6" t="s">
        <v>21</v>
      </c>
      <c r="E1176" s="10" t="s">
        <v>30</v>
      </c>
      <c r="F1176" s="10" t="s">
        <v>90</v>
      </c>
      <c r="G1176" s="10" t="s">
        <v>86</v>
      </c>
      <c r="H1176" s="10">
        <v>7500</v>
      </c>
      <c r="I1176" s="6">
        <v>3</v>
      </c>
      <c r="J1176" s="6">
        <f>H1176*I1176</f>
        <v>22500</v>
      </c>
    </row>
    <row r="1177" spans="2:10" ht="20.100000000000001" customHeight="1" x14ac:dyDescent="0.25">
      <c r="B1177" s="5">
        <v>45132</v>
      </c>
      <c r="C1177" s="8" t="str">
        <f>"Ord-07-23-"&amp;TEXT(ROW(C127),"000")</f>
        <v>Ord-07-23-127</v>
      </c>
      <c r="D1177" s="6" t="s">
        <v>23</v>
      </c>
      <c r="E1177" s="10" t="s">
        <v>27</v>
      </c>
      <c r="F1177" s="10" t="s">
        <v>42</v>
      </c>
      <c r="G1177" s="10" t="s">
        <v>42</v>
      </c>
      <c r="H1177" s="10">
        <v>2500</v>
      </c>
      <c r="I1177" s="6">
        <v>4</v>
      </c>
      <c r="J1177" s="6">
        <f>H1177*I1177</f>
        <v>10000</v>
      </c>
    </row>
    <row r="1178" spans="2:10" ht="20.100000000000001" customHeight="1" x14ac:dyDescent="0.25">
      <c r="B1178" s="5">
        <v>45133</v>
      </c>
      <c r="C1178" s="8" t="str">
        <f>"Ord-07-23-"&amp;TEXT(ROW(C128),"000")</f>
        <v>Ord-07-23-128</v>
      </c>
      <c r="D1178" s="6" t="s">
        <v>20</v>
      </c>
      <c r="E1178" s="10" t="s">
        <v>32</v>
      </c>
      <c r="F1178" s="10" t="s">
        <v>51</v>
      </c>
      <c r="G1178" s="10" t="s">
        <v>70</v>
      </c>
      <c r="H1178" s="10">
        <v>2600</v>
      </c>
      <c r="I1178" s="6">
        <v>4</v>
      </c>
      <c r="J1178" s="6">
        <f>H1178*I1178</f>
        <v>10400</v>
      </c>
    </row>
    <row r="1179" spans="2:10" ht="20.100000000000001" customHeight="1" x14ac:dyDescent="0.25">
      <c r="B1179" s="5">
        <v>45133</v>
      </c>
      <c r="C1179" s="8" t="str">
        <f>"Ord-07-23-"&amp;TEXT(ROW(C129),"000")</f>
        <v>Ord-07-23-129</v>
      </c>
      <c r="D1179" s="6" t="s">
        <v>15</v>
      </c>
      <c r="E1179" s="10" t="s">
        <v>29</v>
      </c>
      <c r="F1179" s="10" t="s">
        <v>39</v>
      </c>
      <c r="G1179" s="10" t="s">
        <v>56</v>
      </c>
      <c r="H1179" s="10">
        <v>2500</v>
      </c>
      <c r="I1179" s="6">
        <v>1</v>
      </c>
      <c r="J1179" s="6">
        <f>H1179*I1179</f>
        <v>2500</v>
      </c>
    </row>
    <row r="1180" spans="2:10" ht="20.100000000000001" customHeight="1" x14ac:dyDescent="0.25">
      <c r="B1180" s="5">
        <v>45133</v>
      </c>
      <c r="C1180" s="8" t="str">
        <f>"Ord-07-23-"&amp;TEXT(ROW(C130),"000")</f>
        <v>Ord-07-23-130</v>
      </c>
      <c r="D1180" s="6" t="s">
        <v>13</v>
      </c>
      <c r="E1180" s="10" t="s">
        <v>27</v>
      </c>
      <c r="F1180" s="10" t="s">
        <v>42</v>
      </c>
      <c r="G1180" s="10" t="s">
        <v>42</v>
      </c>
      <c r="H1180" s="10">
        <v>2500</v>
      </c>
      <c r="I1180" s="6">
        <v>3</v>
      </c>
      <c r="J1180" s="6">
        <f>H1180*I1180</f>
        <v>7500</v>
      </c>
    </row>
    <row r="1181" spans="2:10" ht="20.100000000000001" customHeight="1" x14ac:dyDescent="0.25">
      <c r="B1181" s="5">
        <v>45133</v>
      </c>
      <c r="C1181" s="8" t="str">
        <f>"Ord-07-23-"&amp;TEXT(ROW(C131),"000")</f>
        <v>Ord-07-23-131</v>
      </c>
      <c r="D1181" s="6" t="s">
        <v>17</v>
      </c>
      <c r="E1181" s="10" t="s">
        <v>27</v>
      </c>
      <c r="F1181" s="10" t="s">
        <v>41</v>
      </c>
      <c r="G1181" s="10" t="s">
        <v>53</v>
      </c>
      <c r="H1181" s="10">
        <v>3000</v>
      </c>
      <c r="I1181" s="6">
        <v>2</v>
      </c>
      <c r="J1181" s="6">
        <f>H1181*I1181</f>
        <v>6000</v>
      </c>
    </row>
    <row r="1182" spans="2:10" ht="20.100000000000001" customHeight="1" x14ac:dyDescent="0.25">
      <c r="B1182" s="5">
        <v>45133</v>
      </c>
      <c r="C1182" s="8" t="str">
        <f>"Ord-07-23-"&amp;TEXT(ROW(C132),"000")</f>
        <v>Ord-07-23-132</v>
      </c>
      <c r="D1182" s="6" t="s">
        <v>9</v>
      </c>
      <c r="E1182" s="10" t="s">
        <v>27</v>
      </c>
      <c r="F1182" s="10" t="s">
        <v>41</v>
      </c>
      <c r="G1182" s="10" t="s">
        <v>54</v>
      </c>
      <c r="H1182" s="10">
        <v>2800</v>
      </c>
      <c r="I1182" s="6">
        <v>2</v>
      </c>
      <c r="J1182" s="6">
        <f>H1182*I1182</f>
        <v>5600</v>
      </c>
    </row>
    <row r="1183" spans="2:10" ht="20.100000000000001" customHeight="1" x14ac:dyDescent="0.25">
      <c r="B1183" s="5">
        <v>45134</v>
      </c>
      <c r="C1183" s="8" t="str">
        <f>"Ord-07-23-"&amp;TEXT(ROW(C133),"000")</f>
        <v>Ord-07-23-133</v>
      </c>
      <c r="D1183" s="6" t="s">
        <v>17</v>
      </c>
      <c r="E1183" s="10" t="s">
        <v>32</v>
      </c>
      <c r="F1183" s="10" t="s">
        <v>44</v>
      </c>
      <c r="G1183" s="10" t="s">
        <v>74</v>
      </c>
      <c r="H1183" s="10">
        <v>1800</v>
      </c>
      <c r="I1183" s="6">
        <v>2</v>
      </c>
      <c r="J1183" s="6">
        <f>H1183*I1183</f>
        <v>3600</v>
      </c>
    </row>
    <row r="1184" spans="2:10" ht="20.100000000000001" customHeight="1" x14ac:dyDescent="0.25">
      <c r="B1184" s="5">
        <v>45134</v>
      </c>
      <c r="C1184" s="8" t="str">
        <f>"Ord-07-23-"&amp;TEXT(ROW(C134),"000")</f>
        <v>Ord-07-23-134</v>
      </c>
      <c r="D1184" s="6" t="s">
        <v>25</v>
      </c>
      <c r="E1184" s="10" t="s">
        <v>33</v>
      </c>
      <c r="F1184" s="10" t="s">
        <v>46</v>
      </c>
      <c r="G1184" s="10" t="s">
        <v>65</v>
      </c>
      <c r="H1184" s="10">
        <v>15</v>
      </c>
      <c r="I1184" s="6">
        <v>600</v>
      </c>
      <c r="J1184" s="6">
        <f>H1184*I1184</f>
        <v>9000</v>
      </c>
    </row>
    <row r="1185" spans="2:10" ht="20.100000000000001" customHeight="1" x14ac:dyDescent="0.25">
      <c r="B1185" s="5">
        <v>45134</v>
      </c>
      <c r="C1185" s="8" t="str">
        <f>"Ord-07-23-"&amp;TEXT(ROW(C135),"000")</f>
        <v>Ord-07-23-135</v>
      </c>
      <c r="D1185" s="6" t="s">
        <v>24</v>
      </c>
      <c r="E1185" s="10" t="s">
        <v>29</v>
      </c>
      <c r="F1185" s="10" t="s">
        <v>40</v>
      </c>
      <c r="G1185" s="10" t="s">
        <v>57</v>
      </c>
      <c r="H1185" s="10">
        <v>4000</v>
      </c>
      <c r="I1185" s="6">
        <v>4</v>
      </c>
      <c r="J1185" s="6">
        <f>H1185*I1185</f>
        <v>16000</v>
      </c>
    </row>
    <row r="1186" spans="2:10" ht="20.100000000000001" customHeight="1" x14ac:dyDescent="0.25">
      <c r="B1186" s="5">
        <v>45134</v>
      </c>
      <c r="C1186" s="8" t="str">
        <f>"Ord-07-23-"&amp;TEXT(ROW(C136),"000")</f>
        <v>Ord-07-23-136</v>
      </c>
      <c r="D1186" s="6" t="s">
        <v>17</v>
      </c>
      <c r="E1186" s="10" t="s">
        <v>27</v>
      </c>
      <c r="F1186" s="10" t="s">
        <v>41</v>
      </c>
      <c r="G1186" s="10" t="s">
        <v>54</v>
      </c>
      <c r="H1186" s="10">
        <v>2800</v>
      </c>
      <c r="I1186" s="6">
        <v>5</v>
      </c>
      <c r="J1186" s="6">
        <f>H1186*I1186</f>
        <v>14000</v>
      </c>
    </row>
    <row r="1187" spans="2:10" ht="20.100000000000001" customHeight="1" x14ac:dyDescent="0.25">
      <c r="B1187" s="5">
        <v>45134</v>
      </c>
      <c r="C1187" s="8" t="str">
        <f>"Ord-07-23-"&amp;TEXT(ROW(C137),"000")</f>
        <v>Ord-07-23-137</v>
      </c>
      <c r="D1187" s="6" t="s">
        <v>11</v>
      </c>
      <c r="E1187" s="10" t="s">
        <v>34</v>
      </c>
      <c r="F1187" s="10" t="s">
        <v>49</v>
      </c>
      <c r="G1187" s="10" t="s">
        <v>75</v>
      </c>
      <c r="H1187" s="10">
        <v>4300</v>
      </c>
      <c r="I1187" s="6">
        <v>4</v>
      </c>
      <c r="J1187" s="6">
        <f>H1187*I1187</f>
        <v>17200</v>
      </c>
    </row>
    <row r="1188" spans="2:10" ht="20.100000000000001" customHeight="1" x14ac:dyDescent="0.25">
      <c r="B1188" s="5">
        <v>45135</v>
      </c>
      <c r="C1188" s="8" t="str">
        <f>"Ord-07-23-"&amp;TEXT(ROW(C138),"000")</f>
        <v>Ord-07-23-138</v>
      </c>
      <c r="D1188" s="6" t="s">
        <v>19</v>
      </c>
      <c r="E1188" s="10" t="s">
        <v>35</v>
      </c>
      <c r="F1188" s="12" t="s">
        <v>90</v>
      </c>
      <c r="G1188" s="10" t="s">
        <v>58</v>
      </c>
      <c r="H1188" s="10">
        <v>7500</v>
      </c>
      <c r="I1188" s="7">
        <v>5</v>
      </c>
      <c r="J1188" s="6">
        <f>H1188*I1188</f>
        <v>37500</v>
      </c>
    </row>
    <row r="1189" spans="2:10" ht="20.100000000000001" customHeight="1" x14ac:dyDescent="0.25">
      <c r="B1189" s="5">
        <v>45135</v>
      </c>
      <c r="C1189" s="8" t="str">
        <f>"Ord-07-23-"&amp;TEXT(ROW(C139),"000")</f>
        <v>Ord-07-23-139</v>
      </c>
      <c r="D1189" s="6" t="s">
        <v>15</v>
      </c>
      <c r="E1189" s="10" t="s">
        <v>30</v>
      </c>
      <c r="F1189" s="10" t="s">
        <v>90</v>
      </c>
      <c r="G1189" s="10" t="s">
        <v>59</v>
      </c>
      <c r="H1189" s="10">
        <v>4800</v>
      </c>
      <c r="I1189" s="6">
        <v>1</v>
      </c>
      <c r="J1189" s="6">
        <f>H1189*I1189</f>
        <v>4800</v>
      </c>
    </row>
    <row r="1190" spans="2:10" ht="20.100000000000001" customHeight="1" x14ac:dyDescent="0.25">
      <c r="B1190" s="5">
        <v>45135</v>
      </c>
      <c r="C1190" s="8" t="str">
        <f>"Ord-07-23-"&amp;TEXT(ROW(C140),"000")</f>
        <v>Ord-07-23-140</v>
      </c>
      <c r="D1190" s="6" t="s">
        <v>20</v>
      </c>
      <c r="E1190" s="10" t="s">
        <v>27</v>
      </c>
      <c r="F1190" s="10" t="s">
        <v>38</v>
      </c>
      <c r="G1190" s="10" t="s">
        <v>54</v>
      </c>
      <c r="H1190" s="10">
        <v>5200</v>
      </c>
      <c r="I1190" s="6">
        <v>4</v>
      </c>
      <c r="J1190" s="6">
        <f>H1190*I1190</f>
        <v>20800</v>
      </c>
    </row>
    <row r="1191" spans="2:10" ht="20.100000000000001" customHeight="1" x14ac:dyDescent="0.25">
      <c r="B1191" s="5">
        <v>45135</v>
      </c>
      <c r="C1191" s="8" t="str">
        <f>"Ord-07-23-"&amp;TEXT(ROW(C141),"000")</f>
        <v>Ord-07-23-141</v>
      </c>
      <c r="D1191" s="6" t="s">
        <v>22</v>
      </c>
      <c r="E1191" s="10" t="s">
        <v>27</v>
      </c>
      <c r="F1191" s="10" t="s">
        <v>38</v>
      </c>
      <c r="G1191" s="10" t="s">
        <v>64</v>
      </c>
      <c r="H1191" s="10">
        <v>4800</v>
      </c>
      <c r="I1191" s="6">
        <v>1</v>
      </c>
      <c r="J1191" s="6">
        <f>H1191*I1191</f>
        <v>4800</v>
      </c>
    </row>
    <row r="1192" spans="2:10" ht="20.100000000000001" customHeight="1" x14ac:dyDescent="0.25">
      <c r="B1192" s="5">
        <v>45135</v>
      </c>
      <c r="C1192" s="8" t="str">
        <f>"Ord-07-23-"&amp;TEXT(ROW(C142),"000")</f>
        <v>Ord-07-23-142</v>
      </c>
      <c r="D1192" s="6" t="s">
        <v>11</v>
      </c>
      <c r="E1192" s="10" t="s">
        <v>34</v>
      </c>
      <c r="F1192" s="10" t="s">
        <v>49</v>
      </c>
      <c r="G1192" s="10" t="s">
        <v>75</v>
      </c>
      <c r="H1192" s="10">
        <v>4300</v>
      </c>
      <c r="I1192" s="6">
        <v>4</v>
      </c>
      <c r="J1192" s="6">
        <f>H1192*I1192</f>
        <v>17200</v>
      </c>
    </row>
    <row r="1193" spans="2:10" ht="20.100000000000001" customHeight="1" x14ac:dyDescent="0.25">
      <c r="B1193" s="5">
        <v>45136</v>
      </c>
      <c r="C1193" s="8" t="str">
        <f>"Ord-07-23-"&amp;TEXT(ROW(C143),"000")</f>
        <v>Ord-07-23-143</v>
      </c>
      <c r="D1193" s="6" t="s">
        <v>19</v>
      </c>
      <c r="E1193" s="10" t="s">
        <v>33</v>
      </c>
      <c r="F1193" s="10" t="s">
        <v>47</v>
      </c>
      <c r="G1193" s="10" t="s">
        <v>65</v>
      </c>
      <c r="H1193" s="10">
        <v>15</v>
      </c>
      <c r="I1193" s="6">
        <v>1000</v>
      </c>
      <c r="J1193" s="6">
        <f>H1193*I1193</f>
        <v>15000</v>
      </c>
    </row>
    <row r="1194" spans="2:10" ht="20.100000000000001" customHeight="1" x14ac:dyDescent="0.25">
      <c r="B1194" s="5">
        <v>45136</v>
      </c>
      <c r="C1194" s="8" t="str">
        <f>"Ord-07-23-"&amp;TEXT(ROW(C144),"000")</f>
        <v>Ord-07-23-144</v>
      </c>
      <c r="D1194" s="6" t="s">
        <v>24</v>
      </c>
      <c r="E1194" s="10" t="s">
        <v>33</v>
      </c>
      <c r="F1194" s="10" t="s">
        <v>47</v>
      </c>
      <c r="G1194" s="10" t="s">
        <v>65</v>
      </c>
      <c r="H1194" s="10">
        <v>15</v>
      </c>
      <c r="I1194" s="6">
        <v>500</v>
      </c>
      <c r="J1194" s="6">
        <f>H1194*I1194</f>
        <v>7500</v>
      </c>
    </row>
    <row r="1195" spans="2:10" ht="20.100000000000001" customHeight="1" x14ac:dyDescent="0.25">
      <c r="B1195" s="5">
        <v>45136</v>
      </c>
      <c r="C1195" s="8" t="str">
        <f>"Ord-07-23-"&amp;TEXT(ROW(C145),"000")</f>
        <v>Ord-07-23-145</v>
      </c>
      <c r="D1195" s="6" t="s">
        <v>9</v>
      </c>
      <c r="E1195" s="10" t="s">
        <v>29</v>
      </c>
      <c r="F1195" s="10" t="s">
        <v>40</v>
      </c>
      <c r="G1195" s="10" t="s">
        <v>84</v>
      </c>
      <c r="H1195" s="10">
        <v>7500</v>
      </c>
      <c r="I1195" s="6">
        <v>5</v>
      </c>
      <c r="J1195" s="6">
        <f>H1195*I1195</f>
        <v>37500</v>
      </c>
    </row>
    <row r="1196" spans="2:10" ht="20.100000000000001" customHeight="1" x14ac:dyDescent="0.25">
      <c r="B1196" s="5">
        <v>45136</v>
      </c>
      <c r="C1196" s="8" t="str">
        <f>"Ord-07-23-"&amp;TEXT(ROW(C146),"000")</f>
        <v>Ord-07-23-146</v>
      </c>
      <c r="D1196" s="6" t="s">
        <v>24</v>
      </c>
      <c r="E1196" s="10" t="s">
        <v>27</v>
      </c>
      <c r="F1196" s="10" t="s">
        <v>38</v>
      </c>
      <c r="G1196" s="10" t="s">
        <v>53</v>
      </c>
      <c r="H1196" s="10">
        <v>5500</v>
      </c>
      <c r="I1196" s="6">
        <v>4</v>
      </c>
      <c r="J1196" s="6">
        <f>H1196*I1196</f>
        <v>22000</v>
      </c>
    </row>
    <row r="1197" spans="2:10" ht="20.100000000000001" customHeight="1" x14ac:dyDescent="0.25">
      <c r="B1197" s="5">
        <v>45136</v>
      </c>
      <c r="C1197" s="8" t="str">
        <f>"Ord-07-23-"&amp;TEXT(ROW(C147),"000")</f>
        <v>Ord-07-23-147</v>
      </c>
      <c r="D1197" s="6" t="s">
        <v>10</v>
      </c>
      <c r="E1197" s="10" t="s">
        <v>27</v>
      </c>
      <c r="F1197" s="10" t="s">
        <v>41</v>
      </c>
      <c r="G1197" s="10" t="s">
        <v>53</v>
      </c>
      <c r="H1197" s="10">
        <v>3000</v>
      </c>
      <c r="I1197" s="6">
        <v>2</v>
      </c>
      <c r="J1197" s="6">
        <f>H1197*I1197</f>
        <v>6000</v>
      </c>
    </row>
    <row r="1198" spans="2:10" ht="20.100000000000001" customHeight="1" x14ac:dyDescent="0.25">
      <c r="B1198" s="5">
        <v>45137</v>
      </c>
      <c r="C1198" s="8" t="str">
        <f>"Ord-07-23-"&amp;TEXT(ROW(C148),"000")</f>
        <v>Ord-07-23-148</v>
      </c>
      <c r="D1198" s="6" t="s">
        <v>17</v>
      </c>
      <c r="E1198" s="10" t="s">
        <v>35</v>
      </c>
      <c r="F1198" s="12" t="s">
        <v>90</v>
      </c>
      <c r="G1198" s="10" t="s">
        <v>55</v>
      </c>
      <c r="H1198" s="10">
        <v>5000</v>
      </c>
      <c r="I1198" s="6">
        <v>2</v>
      </c>
      <c r="J1198" s="6">
        <f>H1198*I1198</f>
        <v>10000</v>
      </c>
    </row>
    <row r="1199" spans="2:10" ht="20.100000000000001" customHeight="1" x14ac:dyDescent="0.25">
      <c r="B1199" s="5">
        <v>45137</v>
      </c>
      <c r="C1199" s="8" t="str">
        <f>"Ord-07-23-"&amp;TEXT(ROW(C149),"000")</f>
        <v>Ord-07-23-149</v>
      </c>
      <c r="D1199" s="6" t="s">
        <v>24</v>
      </c>
      <c r="E1199" s="10" t="s">
        <v>31</v>
      </c>
      <c r="F1199" s="10" t="s">
        <v>45</v>
      </c>
      <c r="G1199" s="10" t="s">
        <v>66</v>
      </c>
      <c r="H1199" s="10">
        <v>2300</v>
      </c>
      <c r="I1199" s="6">
        <v>5</v>
      </c>
      <c r="J1199" s="6">
        <f>H1199*I1199</f>
        <v>11500</v>
      </c>
    </row>
    <row r="1200" spans="2:10" ht="20.100000000000001" customHeight="1" x14ac:dyDescent="0.25">
      <c r="B1200" s="5">
        <v>45137</v>
      </c>
      <c r="C1200" s="8" t="str">
        <f>"Ord-07-23-"&amp;TEXT(ROW(C150),"000")</f>
        <v>Ord-07-23-150</v>
      </c>
      <c r="D1200" s="6" t="s">
        <v>21</v>
      </c>
      <c r="E1200" s="10" t="s">
        <v>31</v>
      </c>
      <c r="F1200" s="10" t="s">
        <v>45</v>
      </c>
      <c r="G1200" s="10" t="s">
        <v>67</v>
      </c>
      <c r="H1200" s="10">
        <v>8500</v>
      </c>
      <c r="I1200" s="6">
        <v>2</v>
      </c>
      <c r="J1200" s="6">
        <f>H1200*I1200</f>
        <v>17000</v>
      </c>
    </row>
    <row r="1201" spans="2:10" ht="20.100000000000001" customHeight="1" x14ac:dyDescent="0.25">
      <c r="B1201" s="5">
        <v>45137</v>
      </c>
      <c r="C1201" s="8" t="str">
        <f>"Ord-07-23-"&amp;TEXT(ROW(C151),"000")</f>
        <v>Ord-07-23-151</v>
      </c>
      <c r="D1201" s="6" t="s">
        <v>10</v>
      </c>
      <c r="E1201" s="10" t="s">
        <v>30</v>
      </c>
      <c r="F1201" s="10" t="s">
        <v>90</v>
      </c>
      <c r="G1201" s="10" t="s">
        <v>86</v>
      </c>
      <c r="H1201" s="10">
        <v>7500</v>
      </c>
      <c r="I1201" s="6">
        <v>4</v>
      </c>
      <c r="J1201" s="6">
        <f>H1201*I1201</f>
        <v>30000</v>
      </c>
    </row>
    <row r="1202" spans="2:10" ht="20.100000000000001" customHeight="1" x14ac:dyDescent="0.25">
      <c r="B1202" s="5">
        <v>45137</v>
      </c>
      <c r="C1202" s="8" t="str">
        <f>"Ord-07-23-"&amp;TEXT(ROW(C152),"000")</f>
        <v>Ord-07-23-152</v>
      </c>
      <c r="D1202" s="6" t="s">
        <v>23</v>
      </c>
      <c r="E1202" s="10" t="s">
        <v>27</v>
      </c>
      <c r="F1202" s="10" t="s">
        <v>38</v>
      </c>
      <c r="G1202" s="10" t="s">
        <v>53</v>
      </c>
      <c r="H1202" s="10">
        <v>5500</v>
      </c>
      <c r="I1202" s="7">
        <v>2</v>
      </c>
      <c r="J1202" s="6">
        <f>H1202*I1202</f>
        <v>11000</v>
      </c>
    </row>
    <row r="1203" spans="2:10" ht="20.100000000000001" customHeight="1" x14ac:dyDescent="0.25">
      <c r="B1203" s="5">
        <v>45138</v>
      </c>
      <c r="C1203" s="8" t="str">
        <f>"Ord-07-23-"&amp;TEXT(ROW(C153),"000")</f>
        <v>Ord-07-23-153</v>
      </c>
      <c r="D1203" s="6" t="s">
        <v>19</v>
      </c>
      <c r="E1203" s="10" t="s">
        <v>32</v>
      </c>
      <c r="F1203" s="10" t="s">
        <v>44</v>
      </c>
      <c r="G1203" s="10" t="s">
        <v>74</v>
      </c>
      <c r="H1203" s="10">
        <v>1800</v>
      </c>
      <c r="I1203" s="6">
        <v>1</v>
      </c>
      <c r="J1203" s="6">
        <f>H1203*I1203</f>
        <v>1800</v>
      </c>
    </row>
    <row r="1204" spans="2:10" ht="20.100000000000001" customHeight="1" x14ac:dyDescent="0.25">
      <c r="B1204" s="5">
        <v>45138</v>
      </c>
      <c r="C1204" s="8" t="str">
        <f>"Ord-07-23-"&amp;TEXT(ROW(C154),"000")</f>
        <v>Ord-07-23-154</v>
      </c>
      <c r="D1204" s="6" t="s">
        <v>16</v>
      </c>
      <c r="E1204" s="10" t="s">
        <v>32</v>
      </c>
      <c r="F1204" s="10" t="s">
        <v>51</v>
      </c>
      <c r="G1204" s="10" t="s">
        <v>81</v>
      </c>
      <c r="H1204" s="10">
        <v>3000</v>
      </c>
      <c r="I1204" s="6">
        <v>2</v>
      </c>
      <c r="J1204" s="6">
        <f>H1204*I1204</f>
        <v>6000</v>
      </c>
    </row>
    <row r="1205" spans="2:10" ht="20.100000000000001" customHeight="1" x14ac:dyDescent="0.25">
      <c r="B1205" s="5">
        <v>45138</v>
      </c>
      <c r="C1205" s="8" t="str">
        <f>"Ord-07-23-"&amp;TEXT(ROW(C155),"000")</f>
        <v>Ord-07-23-155</v>
      </c>
      <c r="D1205" s="6" t="s">
        <v>18</v>
      </c>
      <c r="E1205" s="10" t="s">
        <v>31</v>
      </c>
      <c r="F1205" s="10" t="s">
        <v>52</v>
      </c>
      <c r="G1205" s="10" t="s">
        <v>76</v>
      </c>
      <c r="H1205" s="10">
        <v>2800</v>
      </c>
      <c r="I1205" s="6">
        <v>5</v>
      </c>
      <c r="J1205" s="6">
        <f>H1205*I1205</f>
        <v>14000</v>
      </c>
    </row>
    <row r="1206" spans="2:10" ht="20.100000000000001" customHeight="1" x14ac:dyDescent="0.25">
      <c r="B1206" s="5">
        <v>45138</v>
      </c>
      <c r="C1206" s="8" t="str">
        <f>"Ord-07-23-"&amp;TEXT(ROW(C156),"000")</f>
        <v>Ord-07-23-156</v>
      </c>
      <c r="D1206" s="6" t="s">
        <v>23</v>
      </c>
      <c r="E1206" s="10" t="s">
        <v>29</v>
      </c>
      <c r="F1206" s="10" t="s">
        <v>40</v>
      </c>
      <c r="G1206" s="10" t="s">
        <v>57</v>
      </c>
      <c r="H1206" s="10">
        <v>4000</v>
      </c>
      <c r="I1206" s="6">
        <v>5</v>
      </c>
      <c r="J1206" s="6">
        <f>H1206*I1206</f>
        <v>20000</v>
      </c>
    </row>
    <row r="1207" spans="2:10" ht="20.100000000000001" customHeight="1" x14ac:dyDescent="0.25">
      <c r="B1207" s="5">
        <v>45138</v>
      </c>
      <c r="C1207" s="8" t="str">
        <f>"Ord-07-23-"&amp;TEXT(ROW(C157),"000")</f>
        <v>Ord-07-23-157</v>
      </c>
      <c r="D1207" s="6" t="s">
        <v>15</v>
      </c>
      <c r="E1207" s="10" t="s">
        <v>27</v>
      </c>
      <c r="F1207" s="10" t="s">
        <v>41</v>
      </c>
      <c r="G1207" s="10" t="s">
        <v>53</v>
      </c>
      <c r="H1207" s="10">
        <v>3000</v>
      </c>
      <c r="I1207" s="6">
        <v>3</v>
      </c>
      <c r="J1207" s="6">
        <f>H1207*I1207</f>
        <v>9000</v>
      </c>
    </row>
    <row r="1208" spans="2:10" ht="20.100000000000001" customHeight="1" x14ac:dyDescent="0.25">
      <c r="B1208" s="5">
        <v>45139</v>
      </c>
      <c r="C1208" s="8" t="str">
        <f>"Ord-08-23-"&amp;TEXT(ROW(C1),"000")</f>
        <v>Ord-08-23-001</v>
      </c>
      <c r="D1208" s="6" t="s">
        <v>10</v>
      </c>
      <c r="E1208" s="10" t="s">
        <v>35</v>
      </c>
      <c r="F1208" s="12" t="s">
        <v>90</v>
      </c>
      <c r="G1208" s="10" t="s">
        <v>58</v>
      </c>
      <c r="H1208" s="10">
        <v>7500</v>
      </c>
      <c r="I1208" s="6">
        <v>2</v>
      </c>
      <c r="J1208" s="6">
        <f>H1208*I1208</f>
        <v>15000</v>
      </c>
    </row>
    <row r="1209" spans="2:10" ht="20.100000000000001" customHeight="1" x14ac:dyDescent="0.25">
      <c r="B1209" s="5">
        <v>45139</v>
      </c>
      <c r="C1209" s="8" t="str">
        <f>"Ord-08-23-"&amp;TEXT(ROW(C2),"000")</f>
        <v>Ord-08-23-002</v>
      </c>
      <c r="D1209" s="6" t="s">
        <v>10</v>
      </c>
      <c r="E1209" s="10" t="s">
        <v>32</v>
      </c>
      <c r="F1209" s="10" t="s">
        <v>51</v>
      </c>
      <c r="G1209" s="10" t="s">
        <v>83</v>
      </c>
      <c r="H1209" s="10">
        <v>4000</v>
      </c>
      <c r="I1209" s="6">
        <v>1</v>
      </c>
      <c r="J1209" s="6">
        <f>H1209*I1209</f>
        <v>4000</v>
      </c>
    </row>
    <row r="1210" spans="2:10" ht="20.100000000000001" customHeight="1" x14ac:dyDescent="0.25">
      <c r="B1210" s="5">
        <v>45139</v>
      </c>
      <c r="C1210" s="8" t="str">
        <f>"Ord-08-23-"&amp;TEXT(ROW(C3),"000")</f>
        <v>Ord-08-23-003</v>
      </c>
      <c r="D1210" s="6" t="s">
        <v>17</v>
      </c>
      <c r="E1210" s="10" t="s">
        <v>31</v>
      </c>
      <c r="F1210" s="10" t="s">
        <v>48</v>
      </c>
      <c r="G1210" s="10" t="s">
        <v>76</v>
      </c>
      <c r="H1210" s="10">
        <v>3500</v>
      </c>
      <c r="I1210" s="6">
        <v>3</v>
      </c>
      <c r="J1210" s="6">
        <f>H1210*I1210</f>
        <v>10500</v>
      </c>
    </row>
    <row r="1211" spans="2:10" ht="20.100000000000001" customHeight="1" x14ac:dyDescent="0.25">
      <c r="B1211" s="5">
        <v>45139</v>
      </c>
      <c r="C1211" s="8" t="str">
        <f>"Ord-08-23-"&amp;TEXT(ROW(C4),"000")</f>
        <v>Ord-08-23-004</v>
      </c>
      <c r="D1211" s="6" t="s">
        <v>20</v>
      </c>
      <c r="E1211" s="10" t="s">
        <v>36</v>
      </c>
      <c r="F1211" s="10" t="s">
        <v>36</v>
      </c>
      <c r="G1211" s="10" t="s">
        <v>41</v>
      </c>
      <c r="H1211" s="10">
        <v>2000</v>
      </c>
      <c r="I1211" s="6">
        <v>5</v>
      </c>
      <c r="J1211" s="6">
        <f>H1211*I1211</f>
        <v>10000</v>
      </c>
    </row>
    <row r="1212" spans="2:10" ht="20.100000000000001" customHeight="1" x14ac:dyDescent="0.25">
      <c r="B1212" s="5">
        <v>45139</v>
      </c>
      <c r="C1212" s="8" t="str">
        <f>"Ord-08-23-"&amp;TEXT(ROW(C5),"000")</f>
        <v>Ord-08-23-005</v>
      </c>
      <c r="D1212" s="6" t="s">
        <v>21</v>
      </c>
      <c r="E1212" s="10" t="s">
        <v>30</v>
      </c>
      <c r="F1212" s="10" t="s">
        <v>90</v>
      </c>
      <c r="G1212" s="10" t="s">
        <v>59</v>
      </c>
      <c r="H1212" s="10">
        <v>4800</v>
      </c>
      <c r="I1212" s="6">
        <v>2</v>
      </c>
      <c r="J1212" s="6">
        <f>H1212*I1212</f>
        <v>9600</v>
      </c>
    </row>
    <row r="1213" spans="2:10" ht="20.100000000000001" customHeight="1" x14ac:dyDescent="0.25">
      <c r="B1213" s="5">
        <v>45140</v>
      </c>
      <c r="C1213" s="8" t="str">
        <f>"Ord-08-23-"&amp;TEXT(ROW(C6),"000")</f>
        <v>Ord-08-23-006</v>
      </c>
      <c r="D1213" s="6" t="s">
        <v>15</v>
      </c>
      <c r="E1213" s="10" t="s">
        <v>33</v>
      </c>
      <c r="F1213" s="10" t="s">
        <v>47</v>
      </c>
      <c r="G1213" s="10" t="s">
        <v>65</v>
      </c>
      <c r="H1213" s="10">
        <v>25</v>
      </c>
      <c r="I1213" s="6">
        <v>250</v>
      </c>
      <c r="J1213" s="6">
        <f>H1213*I1213</f>
        <v>6250</v>
      </c>
    </row>
    <row r="1214" spans="2:10" ht="20.100000000000001" customHeight="1" x14ac:dyDescent="0.25">
      <c r="B1214" s="5">
        <v>45140</v>
      </c>
      <c r="C1214" s="8" t="str">
        <f>"Ord-08-23-"&amp;TEXT(ROW(C7),"000")</f>
        <v>Ord-08-23-007</v>
      </c>
      <c r="D1214" s="6" t="s">
        <v>23</v>
      </c>
      <c r="E1214" s="10" t="s">
        <v>31</v>
      </c>
      <c r="F1214" s="10" t="s">
        <v>52</v>
      </c>
      <c r="G1214" s="10" t="s">
        <v>69</v>
      </c>
      <c r="H1214" s="10">
        <v>3500</v>
      </c>
      <c r="I1214" s="6">
        <v>2</v>
      </c>
      <c r="J1214" s="6">
        <f>H1214*I1214</f>
        <v>7000</v>
      </c>
    </row>
    <row r="1215" spans="2:10" ht="20.100000000000001" customHeight="1" x14ac:dyDescent="0.25">
      <c r="B1215" s="5">
        <v>45140</v>
      </c>
      <c r="C1215" s="8" t="str">
        <f>"Ord-08-23-"&amp;TEXT(ROW(C8),"000")</f>
        <v>Ord-08-23-008</v>
      </c>
      <c r="D1215" s="6" t="s">
        <v>8</v>
      </c>
      <c r="E1215" s="10" t="s">
        <v>31</v>
      </c>
      <c r="F1215" s="10" t="s">
        <v>48</v>
      </c>
      <c r="G1215" s="10" t="s">
        <v>63</v>
      </c>
      <c r="H1215" s="10">
        <v>3000</v>
      </c>
      <c r="I1215" s="6">
        <v>1</v>
      </c>
      <c r="J1215" s="6">
        <f>H1215*I1215</f>
        <v>3000</v>
      </c>
    </row>
    <row r="1216" spans="2:10" ht="20.100000000000001" customHeight="1" x14ac:dyDescent="0.25">
      <c r="B1216" s="5">
        <v>45140</v>
      </c>
      <c r="C1216" s="8" t="str">
        <f>"Ord-08-23-"&amp;TEXT(ROW(C9),"000")</f>
        <v>Ord-08-23-009</v>
      </c>
      <c r="D1216" s="6" t="s">
        <v>14</v>
      </c>
      <c r="E1216" s="10" t="s">
        <v>29</v>
      </c>
      <c r="F1216" s="10" t="s">
        <v>40</v>
      </c>
      <c r="G1216" s="10" t="s">
        <v>57</v>
      </c>
      <c r="H1216" s="10">
        <v>4000</v>
      </c>
      <c r="I1216" s="6">
        <v>4</v>
      </c>
      <c r="J1216" s="6">
        <f>H1216*I1216</f>
        <v>16000</v>
      </c>
    </row>
    <row r="1217" spans="2:10" ht="20.100000000000001" customHeight="1" x14ac:dyDescent="0.25">
      <c r="B1217" s="5">
        <v>45140</v>
      </c>
      <c r="C1217" s="8" t="str">
        <f>"Ord-08-23-"&amp;TEXT(ROW(C10),"000")</f>
        <v>Ord-08-23-010</v>
      </c>
      <c r="D1217" s="6" t="s">
        <v>16</v>
      </c>
      <c r="E1217" s="10" t="s">
        <v>27</v>
      </c>
      <c r="F1217" s="10" t="s">
        <v>37</v>
      </c>
      <c r="G1217" s="10" t="s">
        <v>64</v>
      </c>
      <c r="H1217" s="10">
        <v>4500</v>
      </c>
      <c r="I1217" s="6">
        <v>1</v>
      </c>
      <c r="J1217" s="6">
        <f>H1217*I1217</f>
        <v>4500</v>
      </c>
    </row>
    <row r="1218" spans="2:10" ht="20.100000000000001" customHeight="1" x14ac:dyDescent="0.25">
      <c r="B1218" s="5">
        <v>45141</v>
      </c>
      <c r="C1218" s="8" t="str">
        <f>"Ord-08-23-"&amp;TEXT(ROW(C11),"000")</f>
        <v>Ord-08-23-011</v>
      </c>
      <c r="D1218" s="6" t="s">
        <v>16</v>
      </c>
      <c r="E1218" s="10" t="s">
        <v>33</v>
      </c>
      <c r="F1218" s="10" t="s">
        <v>46</v>
      </c>
      <c r="G1218" s="10" t="s">
        <v>65</v>
      </c>
      <c r="H1218" s="10">
        <v>15</v>
      </c>
      <c r="I1218" s="6">
        <v>400</v>
      </c>
      <c r="J1218" s="6">
        <f>H1218*I1218</f>
        <v>6000</v>
      </c>
    </row>
    <row r="1219" spans="2:10" ht="20.100000000000001" customHeight="1" x14ac:dyDescent="0.25">
      <c r="B1219" s="5">
        <v>45141</v>
      </c>
      <c r="C1219" s="8" t="str">
        <f>"Ord-08-23-"&amp;TEXT(ROW(C12),"000")</f>
        <v>Ord-08-23-012</v>
      </c>
      <c r="D1219" s="6" t="s">
        <v>21</v>
      </c>
      <c r="E1219" s="10" t="s">
        <v>33</v>
      </c>
      <c r="F1219" s="10" t="s">
        <v>46</v>
      </c>
      <c r="G1219" s="10" t="s">
        <v>65</v>
      </c>
      <c r="H1219" s="10">
        <v>15</v>
      </c>
      <c r="I1219" s="6">
        <v>270</v>
      </c>
      <c r="J1219" s="6">
        <f>H1219*I1219</f>
        <v>4050</v>
      </c>
    </row>
    <row r="1220" spans="2:10" ht="20.100000000000001" customHeight="1" x14ac:dyDescent="0.25">
      <c r="B1220" s="5">
        <v>45141</v>
      </c>
      <c r="C1220" s="8" t="str">
        <f>"Ord-08-23-"&amp;TEXT(ROW(C13),"000")</f>
        <v>Ord-08-23-013</v>
      </c>
      <c r="D1220" s="6" t="s">
        <v>23</v>
      </c>
      <c r="E1220" s="10" t="s">
        <v>31</v>
      </c>
      <c r="F1220" s="10" t="s">
        <v>43</v>
      </c>
      <c r="G1220" s="10" t="s">
        <v>82</v>
      </c>
      <c r="H1220" s="10">
        <v>16000</v>
      </c>
      <c r="I1220" s="6">
        <v>2</v>
      </c>
      <c r="J1220" s="6">
        <f>H1220*I1220</f>
        <v>32000</v>
      </c>
    </row>
    <row r="1221" spans="2:10" ht="20.100000000000001" customHeight="1" x14ac:dyDescent="0.25">
      <c r="B1221" s="5">
        <v>45141</v>
      </c>
      <c r="C1221" s="8" t="str">
        <f>"Ord-08-23-"&amp;TEXT(ROW(C14),"000")</f>
        <v>Ord-08-23-014</v>
      </c>
      <c r="D1221" s="6" t="s">
        <v>10</v>
      </c>
      <c r="E1221" s="10" t="s">
        <v>29</v>
      </c>
      <c r="F1221" s="10" t="s">
        <v>39</v>
      </c>
      <c r="G1221" s="10" t="s">
        <v>56</v>
      </c>
      <c r="H1221" s="10">
        <v>2500</v>
      </c>
      <c r="I1221" s="6">
        <v>2</v>
      </c>
      <c r="J1221" s="6">
        <f>H1221*I1221</f>
        <v>5000</v>
      </c>
    </row>
    <row r="1222" spans="2:10" ht="20.100000000000001" customHeight="1" x14ac:dyDescent="0.25">
      <c r="B1222" s="5">
        <v>45141</v>
      </c>
      <c r="C1222" s="8" t="str">
        <f>"Ord-08-23-"&amp;TEXT(ROW(C15),"000")</f>
        <v>Ord-08-23-015</v>
      </c>
      <c r="D1222" s="6" t="s">
        <v>10</v>
      </c>
      <c r="E1222" s="10" t="s">
        <v>27</v>
      </c>
      <c r="F1222" s="10" t="s">
        <v>37</v>
      </c>
      <c r="G1222" s="10" t="s">
        <v>64</v>
      </c>
      <c r="H1222" s="10">
        <v>4500</v>
      </c>
      <c r="I1222" s="6">
        <v>1</v>
      </c>
      <c r="J1222" s="6">
        <f>H1222*I1222</f>
        <v>4500</v>
      </c>
    </row>
    <row r="1223" spans="2:10" ht="20.100000000000001" customHeight="1" x14ac:dyDescent="0.25">
      <c r="B1223" s="5">
        <v>45142</v>
      </c>
      <c r="C1223" s="8" t="str">
        <f>"Ord-08-23-"&amp;TEXT(ROW(C16),"000")</f>
        <v>Ord-08-23-016</v>
      </c>
      <c r="D1223" s="6" t="s">
        <v>24</v>
      </c>
      <c r="E1223" s="10" t="s">
        <v>35</v>
      </c>
      <c r="F1223" s="12" t="s">
        <v>90</v>
      </c>
      <c r="G1223" s="10" t="s">
        <v>79</v>
      </c>
      <c r="H1223" s="10">
        <v>4800</v>
      </c>
      <c r="I1223" s="6">
        <v>2</v>
      </c>
      <c r="J1223" s="6">
        <f>H1223*I1223</f>
        <v>9600</v>
      </c>
    </row>
    <row r="1224" spans="2:10" ht="20.100000000000001" customHeight="1" x14ac:dyDescent="0.25">
      <c r="B1224" s="5">
        <v>45142</v>
      </c>
      <c r="C1224" s="8" t="str">
        <f>"Ord-08-23-"&amp;TEXT(ROW(C17),"000")</f>
        <v>Ord-08-23-017</v>
      </c>
      <c r="D1224" s="6" t="s">
        <v>25</v>
      </c>
      <c r="E1224" s="10" t="s">
        <v>31</v>
      </c>
      <c r="F1224" s="10" t="s">
        <v>45</v>
      </c>
      <c r="G1224" s="10" t="s">
        <v>59</v>
      </c>
      <c r="H1224" s="10">
        <v>4000</v>
      </c>
      <c r="I1224" s="6">
        <v>2</v>
      </c>
      <c r="J1224" s="6">
        <f>H1224*I1224</f>
        <v>8000</v>
      </c>
    </row>
    <row r="1225" spans="2:10" ht="20.100000000000001" customHeight="1" x14ac:dyDescent="0.25">
      <c r="B1225" s="5">
        <v>45142</v>
      </c>
      <c r="C1225" s="8" t="str">
        <f>"Ord-08-23-"&amp;TEXT(ROW(C18),"000")</f>
        <v>Ord-08-23-018</v>
      </c>
      <c r="D1225" s="6" t="s">
        <v>8</v>
      </c>
      <c r="E1225" s="10" t="s">
        <v>29</v>
      </c>
      <c r="F1225" s="10" t="s">
        <v>40</v>
      </c>
      <c r="G1225" s="10" t="s">
        <v>84</v>
      </c>
      <c r="H1225" s="10">
        <v>7500</v>
      </c>
      <c r="I1225" s="6">
        <v>4</v>
      </c>
      <c r="J1225" s="6">
        <f>H1225*I1225</f>
        <v>30000</v>
      </c>
    </row>
    <row r="1226" spans="2:10" ht="20.100000000000001" customHeight="1" x14ac:dyDescent="0.25">
      <c r="B1226" s="5">
        <v>45142</v>
      </c>
      <c r="C1226" s="8" t="str">
        <f>"Ord-08-23-"&amp;TEXT(ROW(C19),"000")</f>
        <v>Ord-08-23-019</v>
      </c>
      <c r="D1226" s="6" t="s">
        <v>10</v>
      </c>
      <c r="E1226" s="10" t="s">
        <v>27</v>
      </c>
      <c r="F1226" s="10" t="s">
        <v>42</v>
      </c>
      <c r="G1226" s="10" t="s">
        <v>42</v>
      </c>
      <c r="H1226" s="10">
        <v>2500</v>
      </c>
      <c r="I1226" s="6">
        <v>1</v>
      </c>
      <c r="J1226" s="6">
        <f>H1226*I1226</f>
        <v>2500</v>
      </c>
    </row>
    <row r="1227" spans="2:10" ht="20.100000000000001" customHeight="1" x14ac:dyDescent="0.25">
      <c r="B1227" s="5">
        <v>45142</v>
      </c>
      <c r="C1227" s="8" t="str">
        <f>"Ord-08-23-"&amp;TEXT(ROW(C20),"000")</f>
        <v>Ord-08-23-020</v>
      </c>
      <c r="D1227" s="6" t="s">
        <v>7</v>
      </c>
      <c r="E1227" s="10" t="s">
        <v>34</v>
      </c>
      <c r="F1227" s="10" t="s">
        <v>49</v>
      </c>
      <c r="G1227" s="10" t="s">
        <v>75</v>
      </c>
      <c r="H1227" s="10">
        <v>4300</v>
      </c>
      <c r="I1227" s="6">
        <v>4</v>
      </c>
      <c r="J1227" s="6">
        <f>H1227*I1227</f>
        <v>17200</v>
      </c>
    </row>
    <row r="1228" spans="2:10" ht="20.100000000000001" customHeight="1" x14ac:dyDescent="0.25">
      <c r="B1228" s="5">
        <v>45143</v>
      </c>
      <c r="C1228" s="8" t="str">
        <f>"Ord-08-23-"&amp;TEXT(ROW(C21),"000")</f>
        <v>Ord-08-23-021</v>
      </c>
      <c r="D1228" s="6" t="s">
        <v>24</v>
      </c>
      <c r="E1228" s="10" t="s">
        <v>33</v>
      </c>
      <c r="F1228" s="10" t="s">
        <v>47</v>
      </c>
      <c r="G1228" s="10" t="s">
        <v>65</v>
      </c>
      <c r="H1228" s="10">
        <v>25</v>
      </c>
      <c r="I1228" s="6">
        <v>600</v>
      </c>
      <c r="J1228" s="6">
        <f>H1228*I1228</f>
        <v>15000</v>
      </c>
    </row>
    <row r="1229" spans="2:10" ht="20.100000000000001" customHeight="1" x14ac:dyDescent="0.25">
      <c r="B1229" s="5">
        <v>45143</v>
      </c>
      <c r="C1229" s="8" t="str">
        <f>"Ord-08-23-"&amp;TEXT(ROW(C22),"000")</f>
        <v>Ord-08-23-022</v>
      </c>
      <c r="D1229" s="6" t="s">
        <v>21</v>
      </c>
      <c r="E1229" s="10" t="s">
        <v>33</v>
      </c>
      <c r="F1229" s="10" t="s">
        <v>46</v>
      </c>
      <c r="G1229" s="10" t="s">
        <v>65</v>
      </c>
      <c r="H1229" s="10">
        <v>15</v>
      </c>
      <c r="I1229" s="6">
        <v>550</v>
      </c>
      <c r="J1229" s="6">
        <f>H1229*I1229</f>
        <v>8250</v>
      </c>
    </row>
    <row r="1230" spans="2:10" ht="20.100000000000001" customHeight="1" x14ac:dyDescent="0.25">
      <c r="B1230" s="5">
        <v>45143</v>
      </c>
      <c r="C1230" s="8" t="str">
        <f>"Ord-08-23-"&amp;TEXT(ROW(C23),"000")</f>
        <v>Ord-08-23-023</v>
      </c>
      <c r="D1230" s="6" t="s">
        <v>26</v>
      </c>
      <c r="E1230" s="10" t="s">
        <v>31</v>
      </c>
      <c r="F1230" s="10" t="s">
        <v>48</v>
      </c>
      <c r="G1230" s="10" t="s">
        <v>73</v>
      </c>
      <c r="H1230" s="10">
        <v>1600</v>
      </c>
      <c r="I1230" s="6">
        <v>1</v>
      </c>
      <c r="J1230" s="6">
        <f>H1230*I1230</f>
        <v>1600</v>
      </c>
    </row>
    <row r="1231" spans="2:10" ht="20.100000000000001" customHeight="1" x14ac:dyDescent="0.25">
      <c r="B1231" s="5">
        <v>45143</v>
      </c>
      <c r="C1231" s="8" t="str">
        <f>"Ord-08-23-"&amp;TEXT(ROW(C24),"000")</f>
        <v>Ord-08-23-024</v>
      </c>
      <c r="D1231" s="6" t="s">
        <v>9</v>
      </c>
      <c r="E1231" s="10" t="s">
        <v>29</v>
      </c>
      <c r="F1231" s="10" t="s">
        <v>39</v>
      </c>
      <c r="G1231" s="10" t="s">
        <v>56</v>
      </c>
      <c r="H1231" s="10">
        <v>2500</v>
      </c>
      <c r="I1231" s="6">
        <v>1</v>
      </c>
      <c r="J1231" s="6">
        <f>H1231*I1231</f>
        <v>2500</v>
      </c>
    </row>
    <row r="1232" spans="2:10" ht="20.100000000000001" customHeight="1" x14ac:dyDescent="0.25">
      <c r="B1232" s="5">
        <v>45143</v>
      </c>
      <c r="C1232" s="8" t="str">
        <f>"Ord-08-23-"&amp;TEXT(ROW(C25),"000")</f>
        <v>Ord-08-23-025</v>
      </c>
      <c r="D1232" s="6" t="s">
        <v>8</v>
      </c>
      <c r="E1232" s="10" t="s">
        <v>34</v>
      </c>
      <c r="F1232" s="10" t="s">
        <v>49</v>
      </c>
      <c r="G1232" s="10" t="s">
        <v>68</v>
      </c>
      <c r="H1232" s="10">
        <v>4000</v>
      </c>
      <c r="I1232" s="6">
        <v>1</v>
      </c>
      <c r="J1232" s="6">
        <f>H1232*I1232</f>
        <v>4000</v>
      </c>
    </row>
    <row r="1233" spans="2:10" ht="20.100000000000001" customHeight="1" x14ac:dyDescent="0.25">
      <c r="B1233" s="5">
        <v>45144</v>
      </c>
      <c r="C1233" s="8" t="str">
        <f>"Ord-08-23-"&amp;TEXT(ROW(C26),"000")</f>
        <v>Ord-08-23-026</v>
      </c>
      <c r="D1233" s="6" t="s">
        <v>13</v>
      </c>
      <c r="E1233" s="10" t="s">
        <v>35</v>
      </c>
      <c r="F1233" s="12" t="s">
        <v>90</v>
      </c>
      <c r="G1233" s="10" t="s">
        <v>77</v>
      </c>
      <c r="H1233" s="10">
        <v>8500</v>
      </c>
      <c r="I1233" s="6">
        <v>2</v>
      </c>
      <c r="J1233" s="6">
        <f>H1233*I1233</f>
        <v>17000</v>
      </c>
    </row>
    <row r="1234" spans="2:10" ht="20.100000000000001" customHeight="1" x14ac:dyDescent="0.25">
      <c r="B1234" s="5">
        <v>45144</v>
      </c>
      <c r="C1234" s="8" t="str">
        <f>"Ord-08-23-"&amp;TEXT(ROW(C27),"000")</f>
        <v>Ord-08-23-027</v>
      </c>
      <c r="D1234" s="6" t="s">
        <v>24</v>
      </c>
      <c r="E1234" s="10" t="s">
        <v>32</v>
      </c>
      <c r="F1234" s="10" t="s">
        <v>44</v>
      </c>
      <c r="G1234" s="10" t="s">
        <v>87</v>
      </c>
      <c r="H1234" s="10">
        <v>1500</v>
      </c>
      <c r="I1234" s="6">
        <v>5</v>
      </c>
      <c r="J1234" s="6">
        <f>H1234*I1234</f>
        <v>7500</v>
      </c>
    </row>
    <row r="1235" spans="2:10" ht="20.100000000000001" customHeight="1" x14ac:dyDescent="0.25">
      <c r="B1235" s="5">
        <v>45144</v>
      </c>
      <c r="C1235" s="8" t="str">
        <f>"Ord-08-23-"&amp;TEXT(ROW(C28),"000")</f>
        <v>Ord-08-23-028</v>
      </c>
      <c r="D1235" s="6" t="s">
        <v>19</v>
      </c>
      <c r="E1235" s="10" t="s">
        <v>33</v>
      </c>
      <c r="F1235" s="10" t="s">
        <v>46</v>
      </c>
      <c r="G1235" s="10" t="s">
        <v>65</v>
      </c>
      <c r="H1235" s="10">
        <v>15</v>
      </c>
      <c r="I1235" s="6">
        <v>650</v>
      </c>
      <c r="J1235" s="6">
        <f>H1235*I1235</f>
        <v>9750</v>
      </c>
    </row>
    <row r="1236" spans="2:10" ht="20.100000000000001" customHeight="1" x14ac:dyDescent="0.25">
      <c r="B1236" s="5">
        <v>45144</v>
      </c>
      <c r="C1236" s="8" t="str">
        <f>"Ord-08-23-"&amp;TEXT(ROW(C29),"000")</f>
        <v>Ord-08-23-029</v>
      </c>
      <c r="D1236" s="6" t="s">
        <v>20</v>
      </c>
      <c r="E1236" s="10" t="s">
        <v>29</v>
      </c>
      <c r="F1236" s="10" t="s">
        <v>39</v>
      </c>
      <c r="G1236" s="10" t="s">
        <v>56</v>
      </c>
      <c r="H1236" s="10">
        <v>2500</v>
      </c>
      <c r="I1236" s="6">
        <v>1</v>
      </c>
      <c r="J1236" s="6">
        <f>H1236*I1236</f>
        <v>2500</v>
      </c>
    </row>
    <row r="1237" spans="2:10" ht="20.100000000000001" customHeight="1" x14ac:dyDescent="0.25">
      <c r="B1237" s="5">
        <v>45144</v>
      </c>
      <c r="C1237" s="8" t="str">
        <f>"Ord-08-23-"&amp;TEXT(ROW(C30),"000")</f>
        <v>Ord-08-23-030</v>
      </c>
      <c r="D1237" s="6" t="s">
        <v>26</v>
      </c>
      <c r="E1237" s="10" t="s">
        <v>27</v>
      </c>
      <c r="F1237" s="10" t="s">
        <v>37</v>
      </c>
      <c r="G1237" s="10" t="s">
        <v>64</v>
      </c>
      <c r="H1237" s="10">
        <v>4500</v>
      </c>
      <c r="I1237" s="6">
        <v>2</v>
      </c>
      <c r="J1237" s="6">
        <f>H1237*I1237</f>
        <v>9000</v>
      </c>
    </row>
    <row r="1238" spans="2:10" ht="20.100000000000001" customHeight="1" x14ac:dyDescent="0.25">
      <c r="B1238" s="4">
        <v>45145</v>
      </c>
      <c r="C1238" s="8" t="str">
        <f>"Ord-08-23-"&amp;TEXT(ROW(C31),"000")</f>
        <v>Ord-08-23-031</v>
      </c>
      <c r="D1238" s="6" t="s">
        <v>15</v>
      </c>
      <c r="E1238" s="10" t="s">
        <v>33</v>
      </c>
      <c r="F1238" s="10" t="s">
        <v>46</v>
      </c>
      <c r="G1238" s="10" t="s">
        <v>65</v>
      </c>
      <c r="H1238" s="13">
        <v>15</v>
      </c>
      <c r="I1238" s="7">
        <v>400</v>
      </c>
      <c r="J1238" s="6">
        <f>H1238*I1238</f>
        <v>6000</v>
      </c>
    </row>
    <row r="1239" spans="2:10" ht="20.100000000000001" customHeight="1" x14ac:dyDescent="0.25">
      <c r="B1239" s="5">
        <v>45145</v>
      </c>
      <c r="C1239" s="8" t="str">
        <f>"Ord-08-23-"&amp;TEXT(ROW(C32),"000")</f>
        <v>Ord-08-23-032</v>
      </c>
      <c r="D1239" s="6" t="s">
        <v>19</v>
      </c>
      <c r="E1239" s="10" t="s">
        <v>33</v>
      </c>
      <c r="F1239" s="10" t="s">
        <v>46</v>
      </c>
      <c r="G1239" s="10" t="s">
        <v>65</v>
      </c>
      <c r="H1239" s="10">
        <v>15</v>
      </c>
      <c r="I1239" s="6">
        <v>500</v>
      </c>
      <c r="J1239" s="6">
        <f>H1239*I1239</f>
        <v>7500</v>
      </c>
    </row>
    <row r="1240" spans="2:10" ht="20.100000000000001" customHeight="1" x14ac:dyDescent="0.25">
      <c r="B1240" s="4">
        <v>45145</v>
      </c>
      <c r="C1240" s="8" t="str">
        <f>"Ord-08-23-"&amp;TEXT(ROW(C33),"000")</f>
        <v>Ord-08-23-033</v>
      </c>
      <c r="D1240" s="6" t="s">
        <v>11</v>
      </c>
      <c r="E1240" s="10" t="s">
        <v>31</v>
      </c>
      <c r="F1240" s="10" t="s">
        <v>48</v>
      </c>
      <c r="G1240" s="10" t="s">
        <v>82</v>
      </c>
      <c r="H1240" s="13">
        <v>8500</v>
      </c>
      <c r="I1240" s="7">
        <v>2</v>
      </c>
      <c r="J1240" s="6">
        <f>H1240*I1240</f>
        <v>17000</v>
      </c>
    </row>
    <row r="1241" spans="2:10" ht="20.100000000000001" customHeight="1" x14ac:dyDescent="0.25">
      <c r="B1241" s="4">
        <v>45145</v>
      </c>
      <c r="C1241" s="8" t="str">
        <f>"Ord-08-23-"&amp;TEXT(ROW(C34),"000")</f>
        <v>Ord-08-23-034</v>
      </c>
      <c r="D1241" s="6" t="s">
        <v>24</v>
      </c>
      <c r="E1241" s="10" t="s">
        <v>31</v>
      </c>
      <c r="F1241" s="10" t="s">
        <v>48</v>
      </c>
      <c r="G1241" s="10" t="s">
        <v>82</v>
      </c>
      <c r="H1241" s="13">
        <v>8500</v>
      </c>
      <c r="I1241" s="7">
        <v>3</v>
      </c>
      <c r="J1241" s="6">
        <f>H1241*I1241</f>
        <v>25500</v>
      </c>
    </row>
    <row r="1242" spans="2:10" ht="20.100000000000001" customHeight="1" x14ac:dyDescent="0.25">
      <c r="B1242" s="4">
        <v>45145</v>
      </c>
      <c r="C1242" s="8" t="str">
        <f>"Ord-08-23-"&amp;TEXT(ROW(C35),"000")</f>
        <v>Ord-08-23-035</v>
      </c>
      <c r="D1242" s="6" t="s">
        <v>8</v>
      </c>
      <c r="E1242" s="10" t="s">
        <v>31</v>
      </c>
      <c r="F1242" s="10" t="s">
        <v>48</v>
      </c>
      <c r="G1242" s="10" t="s">
        <v>73</v>
      </c>
      <c r="H1242" s="13">
        <v>1600</v>
      </c>
      <c r="I1242" s="7">
        <v>4</v>
      </c>
      <c r="J1242" s="6">
        <f>H1242*I1242</f>
        <v>6400</v>
      </c>
    </row>
    <row r="1243" spans="2:10" ht="20.100000000000001" customHeight="1" x14ac:dyDescent="0.25">
      <c r="B1243" s="5">
        <v>45145</v>
      </c>
      <c r="C1243" s="8" t="str">
        <f>"Ord-08-23-"&amp;TEXT(ROW(C36),"000")</f>
        <v>Ord-08-23-036</v>
      </c>
      <c r="D1243" s="6" t="s">
        <v>8</v>
      </c>
      <c r="E1243" s="10" t="s">
        <v>36</v>
      </c>
      <c r="F1243" s="10" t="s">
        <v>36</v>
      </c>
      <c r="G1243" s="10" t="s">
        <v>85</v>
      </c>
      <c r="H1243" s="10">
        <v>2200</v>
      </c>
      <c r="I1243" s="6">
        <v>1</v>
      </c>
      <c r="J1243" s="6">
        <f>H1243*I1243</f>
        <v>2200</v>
      </c>
    </row>
    <row r="1244" spans="2:10" ht="20.100000000000001" customHeight="1" x14ac:dyDescent="0.25">
      <c r="B1244" s="5">
        <v>45145</v>
      </c>
      <c r="C1244" s="8" t="str">
        <f>"Ord-08-23-"&amp;TEXT(ROW(C37),"000")</f>
        <v>Ord-08-23-037</v>
      </c>
      <c r="D1244" s="6" t="s">
        <v>17</v>
      </c>
      <c r="E1244" s="10" t="s">
        <v>30</v>
      </c>
      <c r="F1244" s="10" t="s">
        <v>90</v>
      </c>
      <c r="G1244" s="10" t="s">
        <v>59</v>
      </c>
      <c r="H1244" s="10">
        <v>4800</v>
      </c>
      <c r="I1244" s="6">
        <v>3</v>
      </c>
      <c r="J1244" s="6">
        <f>H1244*I1244</f>
        <v>14400</v>
      </c>
    </row>
    <row r="1245" spans="2:10" ht="20.100000000000001" customHeight="1" x14ac:dyDescent="0.25">
      <c r="B1245" s="5">
        <v>45145</v>
      </c>
      <c r="C1245" s="8" t="str">
        <f>"Ord-08-23-"&amp;TEXT(ROW(C38),"000")</f>
        <v>Ord-08-23-038</v>
      </c>
      <c r="D1245" s="6" t="s">
        <v>26</v>
      </c>
      <c r="E1245" s="10" t="s">
        <v>27</v>
      </c>
      <c r="F1245" s="10" t="s">
        <v>42</v>
      </c>
      <c r="G1245" s="10" t="s">
        <v>42</v>
      </c>
      <c r="H1245" s="10">
        <v>2500</v>
      </c>
      <c r="I1245" s="6">
        <v>2</v>
      </c>
      <c r="J1245" s="6">
        <f>H1245*I1245</f>
        <v>5000</v>
      </c>
    </row>
    <row r="1246" spans="2:10" ht="20.100000000000001" customHeight="1" x14ac:dyDescent="0.25">
      <c r="B1246" s="4">
        <v>45145</v>
      </c>
      <c r="C1246" s="8" t="str">
        <f>"Ord-08-23-"&amp;TEXT(ROW(C39),"000")</f>
        <v>Ord-08-23-039</v>
      </c>
      <c r="D1246" s="6" t="s">
        <v>8</v>
      </c>
      <c r="E1246" s="10" t="s">
        <v>27</v>
      </c>
      <c r="F1246" s="10" t="s">
        <v>38</v>
      </c>
      <c r="G1246" s="10" t="s">
        <v>54</v>
      </c>
      <c r="H1246" s="13">
        <v>5200</v>
      </c>
      <c r="I1246" s="7">
        <v>2</v>
      </c>
      <c r="J1246" s="6">
        <f>H1246*I1246</f>
        <v>10400</v>
      </c>
    </row>
    <row r="1247" spans="2:10" ht="20.100000000000001" customHeight="1" x14ac:dyDescent="0.25">
      <c r="B1247" s="5">
        <v>45145</v>
      </c>
      <c r="C1247" s="8" t="str">
        <f>"Ord-08-23-"&amp;TEXT(ROW(C40),"000")</f>
        <v>Ord-08-23-040</v>
      </c>
      <c r="D1247" s="6" t="s">
        <v>12</v>
      </c>
      <c r="E1247" s="10" t="s">
        <v>27</v>
      </c>
      <c r="F1247" s="10" t="s">
        <v>37</v>
      </c>
      <c r="G1247" s="10" t="s">
        <v>53</v>
      </c>
      <c r="H1247" s="10">
        <v>5200</v>
      </c>
      <c r="I1247" s="6">
        <v>1</v>
      </c>
      <c r="J1247" s="6">
        <f>H1247*I1247</f>
        <v>5200</v>
      </c>
    </row>
    <row r="1248" spans="2:10" ht="20.100000000000001" customHeight="1" x14ac:dyDescent="0.25">
      <c r="B1248" s="5">
        <v>45146</v>
      </c>
      <c r="C1248" s="8" t="str">
        <f>"Ord-08-23-"&amp;TEXT(ROW(C41),"000")</f>
        <v>Ord-08-23-041</v>
      </c>
      <c r="D1248" s="6" t="s">
        <v>26</v>
      </c>
      <c r="E1248" s="10" t="s">
        <v>32</v>
      </c>
      <c r="F1248" s="10" t="s">
        <v>51</v>
      </c>
      <c r="G1248" s="10" t="s">
        <v>80</v>
      </c>
      <c r="H1248" s="10">
        <v>5500</v>
      </c>
      <c r="I1248" s="6">
        <v>3</v>
      </c>
      <c r="J1248" s="6">
        <f>H1248*I1248</f>
        <v>16500</v>
      </c>
    </row>
    <row r="1249" spans="2:10" ht="20.100000000000001" customHeight="1" x14ac:dyDescent="0.25">
      <c r="B1249" s="5">
        <v>45146</v>
      </c>
      <c r="C1249" s="8" t="str">
        <f>"Ord-08-23-"&amp;TEXT(ROW(C42),"000")</f>
        <v>Ord-08-23-042</v>
      </c>
      <c r="D1249" s="6" t="s">
        <v>23</v>
      </c>
      <c r="E1249" s="10" t="s">
        <v>32</v>
      </c>
      <c r="F1249" s="10" t="s">
        <v>51</v>
      </c>
      <c r="G1249" s="10" t="s">
        <v>70</v>
      </c>
      <c r="H1249" s="10">
        <v>2600</v>
      </c>
      <c r="I1249" s="6">
        <v>1</v>
      </c>
      <c r="J1249" s="6">
        <f>H1249*I1249</f>
        <v>2600</v>
      </c>
    </row>
    <row r="1250" spans="2:10" ht="20.100000000000001" customHeight="1" x14ac:dyDescent="0.25">
      <c r="B1250" s="5">
        <v>45146</v>
      </c>
      <c r="C1250" s="8" t="str">
        <f>"Ord-08-23-"&amp;TEXT(ROW(C43),"000")</f>
        <v>Ord-08-23-043</v>
      </c>
      <c r="D1250" s="6" t="s">
        <v>11</v>
      </c>
      <c r="E1250" s="10" t="s">
        <v>33</v>
      </c>
      <c r="F1250" s="10" t="s">
        <v>47</v>
      </c>
      <c r="G1250" s="10" t="s">
        <v>65</v>
      </c>
      <c r="H1250" s="10">
        <v>25</v>
      </c>
      <c r="I1250" s="6">
        <v>800</v>
      </c>
      <c r="J1250" s="6">
        <f>H1250*I1250</f>
        <v>20000</v>
      </c>
    </row>
    <row r="1251" spans="2:10" ht="20.100000000000001" customHeight="1" x14ac:dyDescent="0.25">
      <c r="B1251" s="5">
        <v>45146</v>
      </c>
      <c r="C1251" s="8" t="str">
        <f>"Ord-08-23-"&amp;TEXT(ROW(C44),"000")</f>
        <v>Ord-08-23-044</v>
      </c>
      <c r="D1251" s="6" t="s">
        <v>19</v>
      </c>
      <c r="E1251" s="10" t="s">
        <v>31</v>
      </c>
      <c r="F1251" s="10" t="s">
        <v>45</v>
      </c>
      <c r="G1251" s="10" t="s">
        <v>63</v>
      </c>
      <c r="H1251" s="10">
        <v>1800</v>
      </c>
      <c r="I1251" s="6">
        <v>1</v>
      </c>
      <c r="J1251" s="6">
        <f>H1251*I1251</f>
        <v>1800</v>
      </c>
    </row>
    <row r="1252" spans="2:10" ht="20.100000000000001" customHeight="1" x14ac:dyDescent="0.25">
      <c r="B1252" s="5">
        <v>45146</v>
      </c>
      <c r="C1252" s="8" t="str">
        <f>"Ord-08-23-"&amp;TEXT(ROW(C45),"000")</f>
        <v>Ord-08-23-045</v>
      </c>
      <c r="D1252" s="6" t="s">
        <v>19</v>
      </c>
      <c r="E1252" s="10" t="s">
        <v>31</v>
      </c>
      <c r="F1252" s="10" t="s">
        <v>45</v>
      </c>
      <c r="G1252" s="10" t="s">
        <v>59</v>
      </c>
      <c r="H1252" s="10">
        <v>4000</v>
      </c>
      <c r="I1252" s="6">
        <v>2</v>
      </c>
      <c r="J1252" s="6">
        <f>H1252*I1252</f>
        <v>8000</v>
      </c>
    </row>
    <row r="1253" spans="2:10" ht="20.100000000000001" customHeight="1" x14ac:dyDescent="0.25">
      <c r="B1253" s="5">
        <v>45147</v>
      </c>
      <c r="C1253" s="8" t="str">
        <f>"Ord-08-23-"&amp;TEXT(ROW(C46),"000")</f>
        <v>Ord-08-23-046</v>
      </c>
      <c r="D1253" s="6" t="s">
        <v>17</v>
      </c>
      <c r="E1253" s="10" t="s">
        <v>30</v>
      </c>
      <c r="F1253" s="10" t="s">
        <v>90</v>
      </c>
      <c r="G1253" s="10" t="s">
        <v>59</v>
      </c>
      <c r="H1253" s="10">
        <v>4800</v>
      </c>
      <c r="I1253" s="6">
        <v>2</v>
      </c>
      <c r="J1253" s="6">
        <f>H1253*I1253</f>
        <v>9600</v>
      </c>
    </row>
    <row r="1254" spans="2:10" ht="20.100000000000001" customHeight="1" x14ac:dyDescent="0.25">
      <c r="B1254" s="5">
        <v>45147</v>
      </c>
      <c r="C1254" s="8" t="str">
        <f>"Ord-08-23-"&amp;TEXT(ROW(C47),"000")</f>
        <v>Ord-08-23-047</v>
      </c>
      <c r="D1254" s="6" t="s">
        <v>16</v>
      </c>
      <c r="E1254" s="10" t="s">
        <v>30</v>
      </c>
      <c r="F1254" s="10" t="s">
        <v>90</v>
      </c>
      <c r="G1254" s="10" t="s">
        <v>86</v>
      </c>
      <c r="H1254" s="10">
        <v>7500</v>
      </c>
      <c r="I1254" s="6">
        <v>5</v>
      </c>
      <c r="J1254" s="6">
        <f>H1254*I1254</f>
        <v>37500</v>
      </c>
    </row>
    <row r="1255" spans="2:10" ht="20.100000000000001" customHeight="1" x14ac:dyDescent="0.25">
      <c r="B1255" s="5">
        <v>45147</v>
      </c>
      <c r="C1255" s="8" t="str">
        <f>"Ord-08-23-"&amp;TEXT(ROW(C48),"000")</f>
        <v>Ord-08-23-048</v>
      </c>
      <c r="D1255" s="6" t="s">
        <v>21</v>
      </c>
      <c r="E1255" s="10" t="s">
        <v>27</v>
      </c>
      <c r="F1255" s="10" t="s">
        <v>50</v>
      </c>
      <c r="G1255" s="10" t="s">
        <v>64</v>
      </c>
      <c r="H1255" s="10">
        <v>3000</v>
      </c>
      <c r="I1255" s="6">
        <v>3</v>
      </c>
      <c r="J1255" s="6">
        <f>H1255*I1255</f>
        <v>9000</v>
      </c>
    </row>
    <row r="1256" spans="2:10" ht="20.100000000000001" customHeight="1" x14ac:dyDescent="0.25">
      <c r="B1256" s="5">
        <v>45147</v>
      </c>
      <c r="C1256" s="8" t="str">
        <f>"Ord-08-23-"&amp;TEXT(ROW(C49),"000")</f>
        <v>Ord-08-23-049</v>
      </c>
      <c r="D1256" s="6" t="s">
        <v>25</v>
      </c>
      <c r="E1256" s="10" t="s">
        <v>34</v>
      </c>
      <c r="F1256" s="10" t="s">
        <v>49</v>
      </c>
      <c r="G1256" s="10" t="s">
        <v>75</v>
      </c>
      <c r="H1256" s="10">
        <v>4300</v>
      </c>
      <c r="I1256" s="6">
        <v>3</v>
      </c>
      <c r="J1256" s="6">
        <f>H1256*I1256</f>
        <v>12900</v>
      </c>
    </row>
    <row r="1257" spans="2:10" ht="20.100000000000001" customHeight="1" x14ac:dyDescent="0.25">
      <c r="B1257" s="5">
        <v>45147</v>
      </c>
      <c r="C1257" s="8" t="str">
        <f>"Ord-08-23-"&amp;TEXT(ROW(C50),"000")</f>
        <v>Ord-08-23-050</v>
      </c>
      <c r="D1257" s="6" t="s">
        <v>19</v>
      </c>
      <c r="E1257" s="10" t="s">
        <v>34</v>
      </c>
      <c r="F1257" s="10" t="s">
        <v>49</v>
      </c>
      <c r="G1257" s="10" t="s">
        <v>68</v>
      </c>
      <c r="H1257" s="10">
        <v>4000</v>
      </c>
      <c r="I1257" s="6">
        <v>2</v>
      </c>
      <c r="J1257" s="6">
        <f>H1257*I1257</f>
        <v>8000</v>
      </c>
    </row>
    <row r="1258" spans="2:10" ht="20.100000000000001" customHeight="1" x14ac:dyDescent="0.25">
      <c r="B1258" s="5">
        <v>45148</v>
      </c>
      <c r="C1258" s="8" t="str">
        <f>"Ord-08-23-"&amp;TEXT(ROW(C51),"000")</f>
        <v>Ord-08-23-051</v>
      </c>
      <c r="D1258" s="6" t="s">
        <v>21</v>
      </c>
      <c r="E1258" s="10" t="s">
        <v>32</v>
      </c>
      <c r="F1258" s="10" t="s">
        <v>51</v>
      </c>
      <c r="G1258" s="10" t="s">
        <v>70</v>
      </c>
      <c r="H1258" s="10">
        <v>2600</v>
      </c>
      <c r="I1258" s="6">
        <v>5</v>
      </c>
      <c r="J1258" s="6">
        <f>H1258*I1258</f>
        <v>13000</v>
      </c>
    </row>
    <row r="1259" spans="2:10" ht="20.100000000000001" customHeight="1" x14ac:dyDescent="0.25">
      <c r="B1259" s="5">
        <v>45148</v>
      </c>
      <c r="C1259" s="8" t="str">
        <f>"Ord-08-23-"&amp;TEXT(ROW(C52),"000")</f>
        <v>Ord-08-23-052</v>
      </c>
      <c r="D1259" s="6" t="s">
        <v>8</v>
      </c>
      <c r="E1259" s="10" t="s">
        <v>33</v>
      </c>
      <c r="F1259" s="10" t="s">
        <v>46</v>
      </c>
      <c r="G1259" s="10" t="s">
        <v>65</v>
      </c>
      <c r="H1259" s="10">
        <v>15</v>
      </c>
      <c r="I1259" s="6">
        <v>300</v>
      </c>
      <c r="J1259" s="6">
        <f>H1259*I1259</f>
        <v>4500</v>
      </c>
    </row>
    <row r="1260" spans="2:10" ht="20.100000000000001" customHeight="1" x14ac:dyDescent="0.25">
      <c r="B1260" s="5">
        <v>45148</v>
      </c>
      <c r="C1260" s="8" t="str">
        <f>"Ord-08-23-"&amp;TEXT(ROW(C53),"000")</f>
        <v>Ord-08-23-053</v>
      </c>
      <c r="D1260" s="6" t="s">
        <v>8</v>
      </c>
      <c r="E1260" s="10" t="s">
        <v>31</v>
      </c>
      <c r="F1260" s="10" t="s">
        <v>52</v>
      </c>
      <c r="G1260" s="10" t="s">
        <v>59</v>
      </c>
      <c r="H1260" s="10">
        <v>3500</v>
      </c>
      <c r="I1260" s="6">
        <v>4</v>
      </c>
      <c r="J1260" s="6">
        <f>H1260*I1260</f>
        <v>14000</v>
      </c>
    </row>
    <row r="1261" spans="2:10" ht="20.100000000000001" customHeight="1" x14ac:dyDescent="0.25">
      <c r="B1261" s="5">
        <v>45148</v>
      </c>
      <c r="C1261" s="8" t="str">
        <f>"Ord-08-23-"&amp;TEXT(ROW(C54),"000")</f>
        <v>Ord-08-23-054</v>
      </c>
      <c r="D1261" s="6" t="s">
        <v>13</v>
      </c>
      <c r="E1261" s="10" t="s">
        <v>30</v>
      </c>
      <c r="F1261" s="10" t="s">
        <v>90</v>
      </c>
      <c r="G1261" s="10" t="s">
        <v>59</v>
      </c>
      <c r="H1261" s="10">
        <v>4800</v>
      </c>
      <c r="I1261" s="6">
        <v>5</v>
      </c>
      <c r="J1261" s="6">
        <f>H1261*I1261</f>
        <v>24000</v>
      </c>
    </row>
    <row r="1262" spans="2:10" ht="20.100000000000001" customHeight="1" x14ac:dyDescent="0.25">
      <c r="B1262" s="5">
        <v>45148</v>
      </c>
      <c r="C1262" s="8" t="str">
        <f>"Ord-08-23-"&amp;TEXT(ROW(C55),"000")</f>
        <v>Ord-08-23-055</v>
      </c>
      <c r="D1262" s="6" t="s">
        <v>11</v>
      </c>
      <c r="E1262" s="10" t="s">
        <v>27</v>
      </c>
      <c r="F1262" s="10" t="s">
        <v>37</v>
      </c>
      <c r="G1262" s="10" t="s">
        <v>54</v>
      </c>
      <c r="H1262" s="10">
        <v>5000</v>
      </c>
      <c r="I1262" s="6">
        <v>1</v>
      </c>
      <c r="J1262" s="6">
        <f>H1262*I1262</f>
        <v>5000</v>
      </c>
    </row>
    <row r="1263" spans="2:10" ht="20.100000000000001" customHeight="1" x14ac:dyDescent="0.25">
      <c r="B1263" s="5">
        <v>45149</v>
      </c>
      <c r="C1263" s="8" t="str">
        <f>"Ord-08-23-"&amp;TEXT(ROW(C56),"000")</f>
        <v>Ord-08-23-056</v>
      </c>
      <c r="D1263" s="6" t="s">
        <v>23</v>
      </c>
      <c r="E1263" s="10" t="s">
        <v>33</v>
      </c>
      <c r="F1263" s="10" t="s">
        <v>47</v>
      </c>
      <c r="G1263" s="10" t="s">
        <v>65</v>
      </c>
      <c r="H1263" s="10">
        <v>25</v>
      </c>
      <c r="I1263" s="6">
        <v>300</v>
      </c>
      <c r="J1263" s="6">
        <f>H1263*I1263</f>
        <v>7500</v>
      </c>
    </row>
    <row r="1264" spans="2:10" ht="20.100000000000001" customHeight="1" x14ac:dyDescent="0.25">
      <c r="B1264" s="5">
        <v>45149</v>
      </c>
      <c r="C1264" s="8" t="str">
        <f>"Ord-08-23-"&amp;TEXT(ROW(C57),"000")</f>
        <v>Ord-08-23-057</v>
      </c>
      <c r="D1264" s="6" t="s">
        <v>23</v>
      </c>
      <c r="E1264" s="10" t="s">
        <v>33</v>
      </c>
      <c r="F1264" s="10" t="s">
        <v>47</v>
      </c>
      <c r="G1264" s="10" t="s">
        <v>65</v>
      </c>
      <c r="H1264" s="10">
        <v>25</v>
      </c>
      <c r="I1264" s="6">
        <v>100</v>
      </c>
      <c r="J1264" s="6">
        <f>H1264*I1264</f>
        <v>2500</v>
      </c>
    </row>
    <row r="1265" spans="2:10" ht="20.100000000000001" customHeight="1" x14ac:dyDescent="0.25">
      <c r="B1265" s="5">
        <v>45149</v>
      </c>
      <c r="C1265" s="8" t="str">
        <f>"Ord-08-23-"&amp;TEXT(ROW(C58),"000")</f>
        <v>Ord-08-23-058</v>
      </c>
      <c r="D1265" s="6" t="s">
        <v>20</v>
      </c>
      <c r="E1265" s="10" t="s">
        <v>29</v>
      </c>
      <c r="F1265" s="10" t="s">
        <v>40</v>
      </c>
      <c r="G1265" s="10" t="s">
        <v>57</v>
      </c>
      <c r="H1265" s="10">
        <v>4000</v>
      </c>
      <c r="I1265" s="6">
        <v>4</v>
      </c>
      <c r="J1265" s="6">
        <f>H1265*I1265</f>
        <v>16000</v>
      </c>
    </row>
    <row r="1266" spans="2:10" ht="20.100000000000001" customHeight="1" x14ac:dyDescent="0.25">
      <c r="B1266" s="5">
        <v>45149</v>
      </c>
      <c r="C1266" s="8" t="str">
        <f>"Ord-08-23-"&amp;TEXT(ROW(C59),"000")</f>
        <v>Ord-08-23-059</v>
      </c>
      <c r="D1266" s="6" t="s">
        <v>9</v>
      </c>
      <c r="E1266" s="10" t="s">
        <v>27</v>
      </c>
      <c r="F1266" s="10" t="s">
        <v>42</v>
      </c>
      <c r="G1266" s="10" t="s">
        <v>42</v>
      </c>
      <c r="H1266" s="10">
        <v>2500</v>
      </c>
      <c r="I1266" s="6">
        <v>5</v>
      </c>
      <c r="J1266" s="6">
        <f>H1266*I1266</f>
        <v>12500</v>
      </c>
    </row>
    <row r="1267" spans="2:10" ht="20.100000000000001" customHeight="1" x14ac:dyDescent="0.25">
      <c r="B1267" s="5">
        <v>45149</v>
      </c>
      <c r="C1267" s="8" t="str">
        <f>"Ord-08-23-"&amp;TEXT(ROW(C60),"000")</f>
        <v>Ord-08-23-060</v>
      </c>
      <c r="D1267" s="6" t="s">
        <v>7</v>
      </c>
      <c r="E1267" s="10" t="s">
        <v>27</v>
      </c>
      <c r="F1267" s="10" t="s">
        <v>37</v>
      </c>
      <c r="G1267" s="10" t="s">
        <v>54</v>
      </c>
      <c r="H1267" s="10">
        <v>5000</v>
      </c>
      <c r="I1267" s="6">
        <v>1</v>
      </c>
      <c r="J1267" s="6">
        <f>H1267*I1267</f>
        <v>5000</v>
      </c>
    </row>
    <row r="1268" spans="2:10" ht="20.100000000000001" customHeight="1" x14ac:dyDescent="0.25">
      <c r="B1268" s="5">
        <v>45150</v>
      </c>
      <c r="C1268" s="8" t="str">
        <f>"Ord-08-23-"&amp;TEXT(ROW(C61),"000")</f>
        <v>Ord-08-23-061</v>
      </c>
      <c r="D1268" s="6" t="s">
        <v>9</v>
      </c>
      <c r="E1268" s="10" t="s">
        <v>28</v>
      </c>
      <c r="F1268" s="10" t="s">
        <v>28</v>
      </c>
      <c r="G1268" s="10" t="s">
        <v>55</v>
      </c>
      <c r="H1268" s="10">
        <v>750</v>
      </c>
      <c r="I1268" s="6">
        <v>1</v>
      </c>
      <c r="J1268" s="6">
        <f>H1268*I1268</f>
        <v>750</v>
      </c>
    </row>
    <row r="1269" spans="2:10" ht="20.100000000000001" customHeight="1" x14ac:dyDescent="0.25">
      <c r="B1269" s="5">
        <v>45150</v>
      </c>
      <c r="C1269" s="8" t="str">
        <f>"Ord-08-23-"&amp;TEXT(ROW(C62),"000")</f>
        <v>Ord-08-23-062</v>
      </c>
      <c r="D1269" s="6" t="s">
        <v>10</v>
      </c>
      <c r="E1269" s="10" t="s">
        <v>28</v>
      </c>
      <c r="F1269" s="10" t="s">
        <v>28</v>
      </c>
      <c r="G1269" s="10" t="s">
        <v>77</v>
      </c>
      <c r="H1269" s="10">
        <v>1200</v>
      </c>
      <c r="I1269" s="6">
        <v>4</v>
      </c>
      <c r="J1269" s="6">
        <f>H1269*I1269</f>
        <v>4800</v>
      </c>
    </row>
    <row r="1270" spans="2:10" ht="20.100000000000001" customHeight="1" x14ac:dyDescent="0.25">
      <c r="B1270" s="5">
        <v>45150</v>
      </c>
      <c r="C1270" s="8" t="str">
        <f>"Ord-08-23-"&amp;TEXT(ROW(C63),"000")</f>
        <v>Ord-08-23-063</v>
      </c>
      <c r="D1270" s="6" t="s">
        <v>18</v>
      </c>
      <c r="E1270" s="10" t="s">
        <v>32</v>
      </c>
      <c r="F1270" s="10" t="s">
        <v>51</v>
      </c>
      <c r="G1270" s="10" t="s">
        <v>83</v>
      </c>
      <c r="H1270" s="10">
        <v>4000</v>
      </c>
      <c r="I1270" s="6">
        <v>1</v>
      </c>
      <c r="J1270" s="6">
        <f>H1270*I1270</f>
        <v>4000</v>
      </c>
    </row>
    <row r="1271" spans="2:10" ht="20.100000000000001" customHeight="1" x14ac:dyDescent="0.25">
      <c r="B1271" s="5">
        <v>45150</v>
      </c>
      <c r="C1271" s="8" t="str">
        <f>"Ord-08-23-"&amp;TEXT(ROW(C64),"000")</f>
        <v>Ord-08-23-064</v>
      </c>
      <c r="D1271" s="6" t="s">
        <v>23</v>
      </c>
      <c r="E1271" s="10" t="s">
        <v>33</v>
      </c>
      <c r="F1271" s="10" t="s">
        <v>47</v>
      </c>
      <c r="G1271" s="10" t="s">
        <v>65</v>
      </c>
      <c r="H1271" s="10">
        <v>25</v>
      </c>
      <c r="I1271" s="6">
        <v>350</v>
      </c>
      <c r="J1271" s="6">
        <f>H1271*I1271</f>
        <v>8750</v>
      </c>
    </row>
    <row r="1272" spans="2:10" ht="20.100000000000001" customHeight="1" x14ac:dyDescent="0.25">
      <c r="B1272" s="5">
        <v>45150</v>
      </c>
      <c r="C1272" s="8" t="str">
        <f>"Ord-08-23-"&amp;TEXT(ROW(C65),"000")</f>
        <v>Ord-08-23-065</v>
      </c>
      <c r="D1272" s="6" t="s">
        <v>23</v>
      </c>
      <c r="E1272" s="10" t="s">
        <v>27</v>
      </c>
      <c r="F1272" s="10" t="s">
        <v>37</v>
      </c>
      <c r="G1272" s="10" t="s">
        <v>53</v>
      </c>
      <c r="H1272" s="10">
        <v>5200</v>
      </c>
      <c r="I1272" s="6">
        <v>1</v>
      </c>
      <c r="J1272" s="6">
        <f>H1272*I1272</f>
        <v>5200</v>
      </c>
    </row>
    <row r="1273" spans="2:10" ht="20.100000000000001" customHeight="1" x14ac:dyDescent="0.25">
      <c r="B1273" s="5">
        <v>45151</v>
      </c>
      <c r="C1273" s="8" t="str">
        <f>"Ord-08-23-"&amp;TEXT(ROW(C66),"000")</f>
        <v>Ord-08-23-066</v>
      </c>
      <c r="D1273" s="6" t="s">
        <v>7</v>
      </c>
      <c r="E1273" s="10" t="s">
        <v>32</v>
      </c>
      <c r="F1273" s="10" t="s">
        <v>44</v>
      </c>
      <c r="G1273" s="10" t="s">
        <v>74</v>
      </c>
      <c r="H1273" s="10">
        <v>1800</v>
      </c>
      <c r="I1273" s="6">
        <v>5</v>
      </c>
      <c r="J1273" s="6">
        <f>H1273*I1273</f>
        <v>9000</v>
      </c>
    </row>
    <row r="1274" spans="2:10" ht="20.100000000000001" customHeight="1" x14ac:dyDescent="0.25">
      <c r="B1274" s="5">
        <v>45151</v>
      </c>
      <c r="C1274" s="8" t="str">
        <f>"Ord-08-23-"&amp;TEXT(ROW(C67),"000")</f>
        <v>Ord-08-23-067</v>
      </c>
      <c r="D1274" s="6" t="s">
        <v>26</v>
      </c>
      <c r="E1274" s="10" t="s">
        <v>33</v>
      </c>
      <c r="F1274" s="10" t="s">
        <v>47</v>
      </c>
      <c r="G1274" s="10" t="s">
        <v>65</v>
      </c>
      <c r="H1274" s="10">
        <v>25</v>
      </c>
      <c r="I1274" s="6">
        <v>550</v>
      </c>
      <c r="J1274" s="6">
        <f>H1274*I1274</f>
        <v>13750</v>
      </c>
    </row>
    <row r="1275" spans="2:10" ht="20.100000000000001" customHeight="1" x14ac:dyDescent="0.25">
      <c r="B1275" s="5">
        <v>45151</v>
      </c>
      <c r="C1275" s="8" t="str">
        <f>"Ord-08-23-"&amp;TEXT(ROW(C68),"000")</f>
        <v>Ord-08-23-068</v>
      </c>
      <c r="D1275" s="6" t="s">
        <v>9</v>
      </c>
      <c r="E1275" s="10" t="s">
        <v>31</v>
      </c>
      <c r="F1275" s="10" t="s">
        <v>52</v>
      </c>
      <c r="G1275" s="10" t="s">
        <v>59</v>
      </c>
      <c r="H1275" s="10">
        <v>3500</v>
      </c>
      <c r="I1275" s="6">
        <v>2</v>
      </c>
      <c r="J1275" s="6">
        <f>H1275*I1275</f>
        <v>7000</v>
      </c>
    </row>
    <row r="1276" spans="2:10" ht="20.100000000000001" customHeight="1" x14ac:dyDescent="0.25">
      <c r="B1276" s="5">
        <v>45151</v>
      </c>
      <c r="C1276" s="8" t="str">
        <f>"Ord-08-23-"&amp;TEXT(ROW(C69),"000")</f>
        <v>Ord-08-23-069</v>
      </c>
      <c r="D1276" s="6" t="s">
        <v>25</v>
      </c>
      <c r="E1276" s="10" t="s">
        <v>27</v>
      </c>
      <c r="F1276" s="10" t="s">
        <v>42</v>
      </c>
      <c r="G1276" s="10" t="s">
        <v>42</v>
      </c>
      <c r="H1276" s="10">
        <v>2500</v>
      </c>
      <c r="I1276" s="6">
        <v>3</v>
      </c>
      <c r="J1276" s="6">
        <f>H1276*I1276</f>
        <v>7500</v>
      </c>
    </row>
    <row r="1277" spans="2:10" ht="20.100000000000001" customHeight="1" x14ac:dyDescent="0.25">
      <c r="B1277" s="5">
        <v>45151</v>
      </c>
      <c r="C1277" s="8" t="str">
        <f>"Ord-08-23-"&amp;TEXT(ROW(C70),"000")</f>
        <v>Ord-08-23-070</v>
      </c>
      <c r="D1277" s="6" t="s">
        <v>9</v>
      </c>
      <c r="E1277" s="10" t="s">
        <v>27</v>
      </c>
      <c r="F1277" s="10" t="s">
        <v>37</v>
      </c>
      <c r="G1277" s="10" t="s">
        <v>64</v>
      </c>
      <c r="H1277" s="10">
        <v>4500</v>
      </c>
      <c r="I1277" s="6">
        <v>1</v>
      </c>
      <c r="J1277" s="6">
        <f>H1277*I1277</f>
        <v>4500</v>
      </c>
    </row>
    <row r="1278" spans="2:10" ht="20.100000000000001" customHeight="1" x14ac:dyDescent="0.25">
      <c r="B1278" s="5">
        <v>45152</v>
      </c>
      <c r="C1278" s="8" t="str">
        <f>"Ord-08-23-"&amp;TEXT(ROW(C71),"000")</f>
        <v>Ord-08-23-071</v>
      </c>
      <c r="D1278" s="6" t="s">
        <v>20</v>
      </c>
      <c r="E1278" s="10" t="s">
        <v>28</v>
      </c>
      <c r="F1278" s="10" t="s">
        <v>28</v>
      </c>
      <c r="G1278" s="10" t="s">
        <v>58</v>
      </c>
      <c r="H1278" s="10">
        <v>1000</v>
      </c>
      <c r="I1278" s="6">
        <v>5</v>
      </c>
      <c r="J1278" s="6">
        <f>H1278*I1278</f>
        <v>5000</v>
      </c>
    </row>
    <row r="1279" spans="2:10" ht="20.100000000000001" customHeight="1" x14ac:dyDescent="0.25">
      <c r="B1279" s="5">
        <v>45152</v>
      </c>
      <c r="C1279" s="8" t="str">
        <f>"Ord-08-23-"&amp;TEXT(ROW(C72),"000")</f>
        <v>Ord-08-23-072</v>
      </c>
      <c r="D1279" s="6" t="s">
        <v>17</v>
      </c>
      <c r="E1279" s="10" t="s">
        <v>29</v>
      </c>
      <c r="F1279" s="10" t="s">
        <v>40</v>
      </c>
      <c r="G1279" s="10" t="s">
        <v>57</v>
      </c>
      <c r="H1279" s="10">
        <v>4000</v>
      </c>
      <c r="I1279" s="6">
        <v>3</v>
      </c>
      <c r="J1279" s="6">
        <f>H1279*I1279</f>
        <v>12000</v>
      </c>
    </row>
    <row r="1280" spans="2:10" ht="20.100000000000001" customHeight="1" x14ac:dyDescent="0.25">
      <c r="B1280" s="5">
        <v>45152</v>
      </c>
      <c r="C1280" s="8" t="str">
        <f>"Ord-08-23-"&amp;TEXT(ROW(C73),"000")</f>
        <v>Ord-08-23-073</v>
      </c>
      <c r="D1280" s="6" t="s">
        <v>18</v>
      </c>
      <c r="E1280" s="10" t="s">
        <v>27</v>
      </c>
      <c r="F1280" s="10" t="s">
        <v>42</v>
      </c>
      <c r="G1280" s="10" t="s">
        <v>42</v>
      </c>
      <c r="H1280" s="10">
        <v>2500</v>
      </c>
      <c r="I1280" s="6">
        <v>4</v>
      </c>
      <c r="J1280" s="6">
        <f>H1280*I1280</f>
        <v>10000</v>
      </c>
    </row>
    <row r="1281" spans="2:10" ht="20.100000000000001" customHeight="1" x14ac:dyDescent="0.25">
      <c r="B1281" s="5">
        <v>45152</v>
      </c>
      <c r="C1281" s="8" t="str">
        <f>"Ord-08-23-"&amp;TEXT(ROW(C74),"000")</f>
        <v>Ord-08-23-074</v>
      </c>
      <c r="D1281" s="6" t="s">
        <v>17</v>
      </c>
      <c r="E1281" s="10" t="s">
        <v>27</v>
      </c>
      <c r="F1281" s="10" t="s">
        <v>50</v>
      </c>
      <c r="G1281" s="10" t="s">
        <v>54</v>
      </c>
      <c r="H1281" s="10">
        <v>3200</v>
      </c>
      <c r="I1281" s="6">
        <v>1</v>
      </c>
      <c r="J1281" s="6">
        <f>H1281*I1281</f>
        <v>3200</v>
      </c>
    </row>
    <row r="1282" spans="2:10" ht="20.100000000000001" customHeight="1" x14ac:dyDescent="0.25">
      <c r="B1282" s="5">
        <v>45152</v>
      </c>
      <c r="C1282" s="8" t="str">
        <f>"Ord-08-23-"&amp;TEXT(ROW(C75),"000")</f>
        <v>Ord-08-23-075</v>
      </c>
      <c r="D1282" s="6" t="s">
        <v>18</v>
      </c>
      <c r="E1282" s="10" t="s">
        <v>27</v>
      </c>
      <c r="F1282" s="10" t="s">
        <v>41</v>
      </c>
      <c r="G1282" s="10" t="s">
        <v>53</v>
      </c>
      <c r="H1282" s="10">
        <v>3000</v>
      </c>
      <c r="I1282" s="6">
        <v>1</v>
      </c>
      <c r="J1282" s="6">
        <f>H1282*I1282</f>
        <v>3000</v>
      </c>
    </row>
    <row r="1283" spans="2:10" ht="20.100000000000001" customHeight="1" x14ac:dyDescent="0.25">
      <c r="B1283" s="5">
        <v>45153</v>
      </c>
      <c r="C1283" s="8" t="str">
        <f>"Ord-08-23-"&amp;TEXT(ROW(C76),"000")</f>
        <v>Ord-08-23-076</v>
      </c>
      <c r="D1283" s="6" t="s">
        <v>22</v>
      </c>
      <c r="E1283" s="10" t="s">
        <v>33</v>
      </c>
      <c r="F1283" s="10" t="s">
        <v>46</v>
      </c>
      <c r="G1283" s="10" t="s">
        <v>65</v>
      </c>
      <c r="H1283" s="10">
        <v>15</v>
      </c>
      <c r="I1283" s="6">
        <v>700</v>
      </c>
      <c r="J1283" s="6">
        <f>H1283*I1283</f>
        <v>10500</v>
      </c>
    </row>
    <row r="1284" spans="2:10" ht="20.100000000000001" customHeight="1" x14ac:dyDescent="0.25">
      <c r="B1284" s="5">
        <v>45153</v>
      </c>
      <c r="C1284" s="8" t="str">
        <f>"Ord-08-23-"&amp;TEXT(ROW(C77),"000")</f>
        <v>Ord-08-23-077</v>
      </c>
      <c r="D1284" s="6" t="s">
        <v>8</v>
      </c>
      <c r="E1284" s="10" t="s">
        <v>33</v>
      </c>
      <c r="F1284" s="10" t="s">
        <v>46</v>
      </c>
      <c r="G1284" s="10" t="s">
        <v>65</v>
      </c>
      <c r="H1284" s="10">
        <v>15</v>
      </c>
      <c r="I1284" s="7">
        <v>100</v>
      </c>
      <c r="J1284" s="6">
        <f>H1284*I1284</f>
        <v>1500</v>
      </c>
    </row>
    <row r="1285" spans="2:10" ht="20.100000000000001" customHeight="1" x14ac:dyDescent="0.25">
      <c r="B1285" s="5">
        <v>45153</v>
      </c>
      <c r="C1285" s="8" t="str">
        <f>"Ord-08-23-"&amp;TEXT(ROW(C78),"000")</f>
        <v>Ord-08-23-078</v>
      </c>
      <c r="D1285" s="6" t="s">
        <v>11</v>
      </c>
      <c r="E1285" s="10" t="s">
        <v>31</v>
      </c>
      <c r="F1285" s="10" t="s">
        <v>43</v>
      </c>
      <c r="G1285" s="10" t="s">
        <v>82</v>
      </c>
      <c r="H1285" s="10">
        <v>16000</v>
      </c>
      <c r="I1285" s="6">
        <v>1</v>
      </c>
      <c r="J1285" s="6">
        <f>H1285*I1285</f>
        <v>16000</v>
      </c>
    </row>
    <row r="1286" spans="2:10" ht="20.100000000000001" customHeight="1" x14ac:dyDescent="0.25">
      <c r="B1286" s="5">
        <v>45153</v>
      </c>
      <c r="C1286" s="8" t="str">
        <f>"Ord-08-23-"&amp;TEXT(ROW(C79),"000")</f>
        <v>Ord-08-23-079</v>
      </c>
      <c r="D1286" s="6" t="s">
        <v>7</v>
      </c>
      <c r="E1286" s="10" t="s">
        <v>29</v>
      </c>
      <c r="F1286" s="10" t="s">
        <v>40</v>
      </c>
      <c r="G1286" s="10" t="s">
        <v>84</v>
      </c>
      <c r="H1286" s="10">
        <v>7500</v>
      </c>
      <c r="I1286" s="6">
        <v>4</v>
      </c>
      <c r="J1286" s="6">
        <f>H1286*I1286</f>
        <v>30000</v>
      </c>
    </row>
    <row r="1287" spans="2:10" ht="20.100000000000001" customHeight="1" x14ac:dyDescent="0.25">
      <c r="B1287" s="5">
        <v>45153</v>
      </c>
      <c r="C1287" s="8" t="str">
        <f>"Ord-08-23-"&amp;TEXT(ROW(C80),"000")</f>
        <v>Ord-08-23-080</v>
      </c>
      <c r="D1287" s="6" t="s">
        <v>12</v>
      </c>
      <c r="E1287" s="10" t="s">
        <v>27</v>
      </c>
      <c r="F1287" s="10" t="s">
        <v>42</v>
      </c>
      <c r="G1287" s="10" t="s">
        <v>42</v>
      </c>
      <c r="H1287" s="10">
        <v>2500</v>
      </c>
      <c r="I1287" s="6">
        <v>3</v>
      </c>
      <c r="J1287" s="6">
        <f>H1287*I1287</f>
        <v>7500</v>
      </c>
    </row>
    <row r="1288" spans="2:10" ht="20.100000000000001" customHeight="1" x14ac:dyDescent="0.25">
      <c r="B1288" s="5">
        <v>45154</v>
      </c>
      <c r="C1288" s="8" t="str">
        <f>"Ord-08-23-"&amp;TEXT(ROW(C81),"000")</f>
        <v>Ord-08-23-081</v>
      </c>
      <c r="D1288" s="6" t="s">
        <v>14</v>
      </c>
      <c r="E1288" s="10" t="s">
        <v>35</v>
      </c>
      <c r="F1288" s="12" t="s">
        <v>90</v>
      </c>
      <c r="G1288" s="10" t="s">
        <v>77</v>
      </c>
      <c r="H1288" s="10">
        <v>8500</v>
      </c>
      <c r="I1288" s="6">
        <v>1</v>
      </c>
      <c r="J1288" s="6">
        <f>H1288*I1288</f>
        <v>8500</v>
      </c>
    </row>
    <row r="1289" spans="2:10" ht="20.100000000000001" customHeight="1" x14ac:dyDescent="0.25">
      <c r="B1289" s="5">
        <v>45154</v>
      </c>
      <c r="C1289" s="8" t="str">
        <f>"Ord-08-23-"&amp;TEXT(ROW(C82),"000")</f>
        <v>Ord-08-23-082</v>
      </c>
      <c r="D1289" s="6" t="s">
        <v>19</v>
      </c>
      <c r="E1289" s="10" t="s">
        <v>33</v>
      </c>
      <c r="F1289" s="10" t="s">
        <v>46</v>
      </c>
      <c r="G1289" s="10" t="s">
        <v>65</v>
      </c>
      <c r="H1289" s="10">
        <v>15</v>
      </c>
      <c r="I1289" s="6">
        <v>300</v>
      </c>
      <c r="J1289" s="6">
        <f>H1289*I1289</f>
        <v>4500</v>
      </c>
    </row>
    <row r="1290" spans="2:10" ht="20.100000000000001" customHeight="1" x14ac:dyDescent="0.25">
      <c r="B1290" s="5">
        <v>45154</v>
      </c>
      <c r="C1290" s="8" t="str">
        <f>"Ord-08-23-"&amp;TEXT(ROW(C83),"000")</f>
        <v>Ord-08-23-083</v>
      </c>
      <c r="D1290" s="6" t="s">
        <v>13</v>
      </c>
      <c r="E1290" s="10" t="s">
        <v>31</v>
      </c>
      <c r="F1290" s="10" t="s">
        <v>48</v>
      </c>
      <c r="G1290" s="10" t="s">
        <v>82</v>
      </c>
      <c r="H1290" s="10">
        <v>8500</v>
      </c>
      <c r="I1290" s="6">
        <v>1</v>
      </c>
      <c r="J1290" s="6">
        <f>H1290*I1290</f>
        <v>8500</v>
      </c>
    </row>
    <row r="1291" spans="2:10" ht="20.100000000000001" customHeight="1" x14ac:dyDescent="0.25">
      <c r="B1291" s="5">
        <v>45154</v>
      </c>
      <c r="C1291" s="8" t="str">
        <f>"Ord-08-23-"&amp;TEXT(ROW(C84),"000")</f>
        <v>Ord-08-23-084</v>
      </c>
      <c r="D1291" s="6" t="s">
        <v>25</v>
      </c>
      <c r="E1291" s="10" t="s">
        <v>27</v>
      </c>
      <c r="F1291" s="10" t="s">
        <v>37</v>
      </c>
      <c r="G1291" s="10" t="s">
        <v>64</v>
      </c>
      <c r="H1291" s="10">
        <v>4500</v>
      </c>
      <c r="I1291" s="6">
        <v>3</v>
      </c>
      <c r="J1291" s="6">
        <f>H1291*I1291</f>
        <v>13500</v>
      </c>
    </row>
    <row r="1292" spans="2:10" ht="20.100000000000001" customHeight="1" x14ac:dyDescent="0.25">
      <c r="B1292" s="5">
        <v>45154</v>
      </c>
      <c r="C1292" s="8" t="str">
        <f>"Ord-08-23-"&amp;TEXT(ROW(C85),"000")</f>
        <v>Ord-08-23-085</v>
      </c>
      <c r="D1292" s="6" t="s">
        <v>22</v>
      </c>
      <c r="E1292" s="10" t="s">
        <v>27</v>
      </c>
      <c r="F1292" s="10" t="s">
        <v>41</v>
      </c>
      <c r="G1292" s="10" t="s">
        <v>64</v>
      </c>
      <c r="H1292" s="10">
        <v>2500</v>
      </c>
      <c r="I1292" s="6">
        <v>5</v>
      </c>
      <c r="J1292" s="6">
        <f>H1292*I1292</f>
        <v>12500</v>
      </c>
    </row>
    <row r="1293" spans="2:10" ht="20.100000000000001" customHeight="1" x14ac:dyDescent="0.25">
      <c r="B1293" s="5">
        <v>45155</v>
      </c>
      <c r="C1293" s="8" t="str">
        <f>"Ord-08-23-"&amp;TEXT(ROW(C86),"000")</f>
        <v>Ord-08-23-086</v>
      </c>
      <c r="D1293" s="6" t="s">
        <v>17</v>
      </c>
      <c r="E1293" s="10" t="s">
        <v>28</v>
      </c>
      <c r="F1293" s="10" t="s">
        <v>28</v>
      </c>
      <c r="G1293" s="10" t="s">
        <v>71</v>
      </c>
      <c r="H1293" s="10">
        <v>850</v>
      </c>
      <c r="I1293" s="6">
        <v>1</v>
      </c>
      <c r="J1293" s="6">
        <f>H1293*I1293</f>
        <v>850</v>
      </c>
    </row>
    <row r="1294" spans="2:10" ht="20.100000000000001" customHeight="1" x14ac:dyDescent="0.25">
      <c r="B1294" s="5">
        <v>45155</v>
      </c>
      <c r="C1294" s="8" t="str">
        <f>"Ord-08-23-"&amp;TEXT(ROW(C87),"000")</f>
        <v>Ord-08-23-087</v>
      </c>
      <c r="D1294" s="6" t="s">
        <v>8</v>
      </c>
      <c r="E1294" s="10" t="s">
        <v>28</v>
      </c>
      <c r="F1294" s="10" t="s">
        <v>28</v>
      </c>
      <c r="G1294" s="10" t="s">
        <v>58</v>
      </c>
      <c r="H1294" s="10">
        <v>1200</v>
      </c>
      <c r="I1294" s="6">
        <v>5</v>
      </c>
      <c r="J1294" s="6">
        <f>H1294*I1294</f>
        <v>6000</v>
      </c>
    </row>
    <row r="1295" spans="2:10" ht="20.100000000000001" customHeight="1" x14ac:dyDescent="0.25">
      <c r="B1295" s="5">
        <v>45155</v>
      </c>
      <c r="C1295" s="8" t="str">
        <f>"Ord-08-23-"&amp;TEXT(ROW(C88),"000")</f>
        <v>Ord-08-23-088</v>
      </c>
      <c r="D1295" s="6" t="s">
        <v>15</v>
      </c>
      <c r="E1295" s="10" t="s">
        <v>29</v>
      </c>
      <c r="F1295" s="10" t="s">
        <v>39</v>
      </c>
      <c r="G1295" s="10" t="s">
        <v>60</v>
      </c>
      <c r="H1295" s="10">
        <v>1500</v>
      </c>
      <c r="I1295" s="6">
        <v>3</v>
      </c>
      <c r="J1295" s="6">
        <f>H1295*I1295</f>
        <v>4500</v>
      </c>
    </row>
    <row r="1296" spans="2:10" ht="20.100000000000001" customHeight="1" x14ac:dyDescent="0.25">
      <c r="B1296" s="5">
        <v>45155</v>
      </c>
      <c r="C1296" s="8" t="str">
        <f>"Ord-08-23-"&amp;TEXT(ROW(C89),"000")</f>
        <v>Ord-08-23-089</v>
      </c>
      <c r="D1296" s="6" t="s">
        <v>24</v>
      </c>
      <c r="E1296" s="10" t="s">
        <v>27</v>
      </c>
      <c r="F1296" s="10" t="s">
        <v>42</v>
      </c>
      <c r="G1296" s="10" t="s">
        <v>42</v>
      </c>
      <c r="H1296" s="10">
        <v>2500</v>
      </c>
      <c r="I1296" s="6">
        <v>5</v>
      </c>
      <c r="J1296" s="6">
        <f>H1296*I1296</f>
        <v>12500</v>
      </c>
    </row>
    <row r="1297" spans="2:10" ht="20.100000000000001" customHeight="1" x14ac:dyDescent="0.25">
      <c r="B1297" s="5">
        <v>45155</v>
      </c>
      <c r="C1297" s="8" t="str">
        <f>"Ord-08-23-"&amp;TEXT(ROW(C90),"000")</f>
        <v>Ord-08-23-090</v>
      </c>
      <c r="D1297" s="6" t="s">
        <v>12</v>
      </c>
      <c r="E1297" s="10" t="s">
        <v>27</v>
      </c>
      <c r="F1297" s="10" t="s">
        <v>41</v>
      </c>
      <c r="G1297" s="10" t="s">
        <v>53</v>
      </c>
      <c r="H1297" s="10">
        <v>3000</v>
      </c>
      <c r="I1297" s="6">
        <v>4</v>
      </c>
      <c r="J1297" s="6">
        <f>H1297*I1297</f>
        <v>12000</v>
      </c>
    </row>
    <row r="1298" spans="2:10" ht="20.100000000000001" customHeight="1" x14ac:dyDescent="0.25">
      <c r="B1298" s="5">
        <v>45156</v>
      </c>
      <c r="C1298" s="8" t="str">
        <f>"Ord-08-23-"&amp;TEXT(ROW(C91),"000")</f>
        <v>Ord-08-23-091</v>
      </c>
      <c r="D1298" s="6" t="s">
        <v>25</v>
      </c>
      <c r="E1298" s="10" t="s">
        <v>28</v>
      </c>
      <c r="F1298" s="10" t="s">
        <v>28</v>
      </c>
      <c r="G1298" s="10" t="s">
        <v>71</v>
      </c>
      <c r="H1298" s="10">
        <v>850</v>
      </c>
      <c r="I1298" s="6">
        <v>4</v>
      </c>
      <c r="J1298" s="6">
        <f>H1298*I1298</f>
        <v>3400</v>
      </c>
    </row>
    <row r="1299" spans="2:10" ht="20.100000000000001" customHeight="1" x14ac:dyDescent="0.25">
      <c r="B1299" s="5">
        <v>45156</v>
      </c>
      <c r="C1299" s="8" t="str">
        <f>"Ord-08-23-"&amp;TEXT(ROW(C92),"000")</f>
        <v>Ord-08-23-092</v>
      </c>
      <c r="D1299" s="6" t="s">
        <v>14</v>
      </c>
      <c r="E1299" s="10" t="s">
        <v>30</v>
      </c>
      <c r="F1299" s="10" t="s">
        <v>90</v>
      </c>
      <c r="G1299" s="10" t="s">
        <v>86</v>
      </c>
      <c r="H1299" s="10">
        <v>7500</v>
      </c>
      <c r="I1299" s="6">
        <v>1</v>
      </c>
      <c r="J1299" s="6">
        <f>H1299*I1299</f>
        <v>7500</v>
      </c>
    </row>
    <row r="1300" spans="2:10" ht="20.100000000000001" customHeight="1" x14ac:dyDescent="0.25">
      <c r="B1300" s="5">
        <v>45156</v>
      </c>
      <c r="C1300" s="8" t="str">
        <f>"Ord-08-23-"&amp;TEXT(ROW(C93),"000")</f>
        <v>Ord-08-23-093</v>
      </c>
      <c r="D1300" s="6" t="s">
        <v>24</v>
      </c>
      <c r="E1300" s="10" t="s">
        <v>27</v>
      </c>
      <c r="F1300" s="10" t="s">
        <v>38</v>
      </c>
      <c r="G1300" s="10" t="s">
        <v>64</v>
      </c>
      <c r="H1300" s="10">
        <v>4800</v>
      </c>
      <c r="I1300" s="6">
        <v>4</v>
      </c>
      <c r="J1300" s="6">
        <f>H1300*I1300</f>
        <v>19200</v>
      </c>
    </row>
    <row r="1301" spans="2:10" ht="20.100000000000001" customHeight="1" x14ac:dyDescent="0.25">
      <c r="B1301" s="5">
        <v>45156</v>
      </c>
      <c r="C1301" s="8" t="str">
        <f>"Ord-08-23-"&amp;TEXT(ROW(C94),"000")</f>
        <v>Ord-08-23-094</v>
      </c>
      <c r="D1301" s="6" t="s">
        <v>11</v>
      </c>
      <c r="E1301" s="10" t="s">
        <v>27</v>
      </c>
      <c r="F1301" s="10" t="s">
        <v>37</v>
      </c>
      <c r="G1301" s="10" t="s">
        <v>53</v>
      </c>
      <c r="H1301" s="10">
        <v>5200</v>
      </c>
      <c r="I1301" s="6">
        <v>1</v>
      </c>
      <c r="J1301" s="6">
        <f>H1301*I1301</f>
        <v>5200</v>
      </c>
    </row>
    <row r="1302" spans="2:10" ht="20.100000000000001" customHeight="1" x14ac:dyDescent="0.25">
      <c r="B1302" s="5">
        <v>45156</v>
      </c>
      <c r="C1302" s="8" t="str">
        <f>"Ord-08-23-"&amp;TEXT(ROW(C95),"000")</f>
        <v>Ord-08-23-095</v>
      </c>
      <c r="D1302" s="6" t="s">
        <v>11</v>
      </c>
      <c r="E1302" s="10" t="s">
        <v>27</v>
      </c>
      <c r="F1302" s="10" t="s">
        <v>41</v>
      </c>
      <c r="G1302" s="10" t="s">
        <v>53</v>
      </c>
      <c r="H1302" s="10">
        <v>3000</v>
      </c>
      <c r="I1302" s="6">
        <v>2</v>
      </c>
      <c r="J1302" s="6">
        <f>H1302*I1302</f>
        <v>6000</v>
      </c>
    </row>
    <row r="1303" spans="2:10" ht="20.100000000000001" customHeight="1" x14ac:dyDescent="0.25">
      <c r="B1303" s="5">
        <v>45157</v>
      </c>
      <c r="C1303" s="8" t="str">
        <f>"Ord-08-23-"&amp;TEXT(ROW(C96),"000")</f>
        <v>Ord-08-23-096</v>
      </c>
      <c r="D1303" s="6" t="s">
        <v>23</v>
      </c>
      <c r="E1303" s="10" t="s">
        <v>35</v>
      </c>
      <c r="F1303" s="12" t="s">
        <v>90</v>
      </c>
      <c r="G1303" s="10" t="s">
        <v>55</v>
      </c>
      <c r="H1303" s="10">
        <v>5000</v>
      </c>
      <c r="I1303" s="6">
        <v>4</v>
      </c>
      <c r="J1303" s="6">
        <f>H1303*I1303</f>
        <v>20000</v>
      </c>
    </row>
    <row r="1304" spans="2:10" ht="20.100000000000001" customHeight="1" x14ac:dyDescent="0.25">
      <c r="B1304" s="5">
        <v>45157</v>
      </c>
      <c r="C1304" s="8" t="str">
        <f>"Ord-08-23-"&amp;TEXT(ROW(C97),"000")</f>
        <v>Ord-08-23-097</v>
      </c>
      <c r="D1304" s="6" t="s">
        <v>26</v>
      </c>
      <c r="E1304" s="10" t="s">
        <v>33</v>
      </c>
      <c r="F1304" s="10" t="s">
        <v>47</v>
      </c>
      <c r="G1304" s="10" t="s">
        <v>65</v>
      </c>
      <c r="H1304" s="10">
        <v>25</v>
      </c>
      <c r="I1304" s="6">
        <v>600</v>
      </c>
      <c r="J1304" s="6">
        <f>H1304*I1304</f>
        <v>15000</v>
      </c>
    </row>
    <row r="1305" spans="2:10" ht="20.100000000000001" customHeight="1" x14ac:dyDescent="0.25">
      <c r="B1305" s="5">
        <v>45157</v>
      </c>
      <c r="C1305" s="8" t="str">
        <f>"Ord-08-23-"&amp;TEXT(ROW(C98),"000")</f>
        <v>Ord-08-23-098</v>
      </c>
      <c r="D1305" s="6" t="s">
        <v>21</v>
      </c>
      <c r="E1305" s="10" t="s">
        <v>31</v>
      </c>
      <c r="F1305" s="10" t="s">
        <v>48</v>
      </c>
      <c r="G1305" s="10" t="s">
        <v>66</v>
      </c>
      <c r="H1305" s="10">
        <v>3500</v>
      </c>
      <c r="I1305" s="7">
        <v>3</v>
      </c>
      <c r="J1305" s="6">
        <f>H1305*I1305</f>
        <v>10500</v>
      </c>
    </row>
    <row r="1306" spans="2:10" ht="20.100000000000001" customHeight="1" x14ac:dyDescent="0.25">
      <c r="B1306" s="5">
        <v>45157</v>
      </c>
      <c r="C1306" s="8" t="str">
        <f>"Ord-08-23-"&amp;TEXT(ROW(C99),"000")</f>
        <v>Ord-08-23-099</v>
      </c>
      <c r="D1306" s="6" t="s">
        <v>11</v>
      </c>
      <c r="E1306" s="10" t="s">
        <v>29</v>
      </c>
      <c r="F1306" s="10" t="s">
        <v>39</v>
      </c>
      <c r="G1306" s="10" t="s">
        <v>60</v>
      </c>
      <c r="H1306" s="10">
        <v>1500</v>
      </c>
      <c r="I1306" s="6">
        <v>2</v>
      </c>
      <c r="J1306" s="6">
        <f>H1306*I1306</f>
        <v>3000</v>
      </c>
    </row>
    <row r="1307" spans="2:10" ht="20.100000000000001" customHeight="1" x14ac:dyDescent="0.25">
      <c r="B1307" s="5">
        <v>45157</v>
      </c>
      <c r="C1307" s="8" t="str">
        <f>"Ord-08-23-"&amp;TEXT(ROW(C100),"000")</f>
        <v>Ord-08-23-100</v>
      </c>
      <c r="D1307" s="6" t="s">
        <v>7</v>
      </c>
      <c r="E1307" s="10" t="s">
        <v>27</v>
      </c>
      <c r="F1307" s="10" t="s">
        <v>37</v>
      </c>
      <c r="G1307" s="10" t="s">
        <v>64</v>
      </c>
      <c r="H1307" s="10">
        <v>4500</v>
      </c>
      <c r="I1307" s="6">
        <v>1</v>
      </c>
      <c r="J1307" s="6">
        <f>H1307*I1307</f>
        <v>4500</v>
      </c>
    </row>
    <row r="1308" spans="2:10" ht="20.100000000000001" customHeight="1" x14ac:dyDescent="0.25">
      <c r="B1308" s="5">
        <v>45158</v>
      </c>
      <c r="C1308" s="8" t="str">
        <f>"Ord-08-23-"&amp;TEXT(ROW(C101),"000")</f>
        <v>Ord-08-23-101</v>
      </c>
      <c r="D1308" s="6" t="s">
        <v>26</v>
      </c>
      <c r="E1308" s="10" t="s">
        <v>28</v>
      </c>
      <c r="F1308" s="10" t="s">
        <v>28</v>
      </c>
      <c r="G1308" s="10" t="s">
        <v>77</v>
      </c>
      <c r="H1308" s="10">
        <v>1200</v>
      </c>
      <c r="I1308" s="6">
        <v>2</v>
      </c>
      <c r="J1308" s="6">
        <f>H1308*I1308</f>
        <v>2400</v>
      </c>
    </row>
    <row r="1309" spans="2:10" ht="20.100000000000001" customHeight="1" x14ac:dyDescent="0.25">
      <c r="B1309" s="5">
        <v>45158</v>
      </c>
      <c r="C1309" s="8" t="str">
        <f>"Ord-08-23-"&amp;TEXT(ROW(C102),"000")</f>
        <v>Ord-08-23-102</v>
      </c>
      <c r="D1309" s="6" t="s">
        <v>7</v>
      </c>
      <c r="E1309" s="10" t="s">
        <v>32</v>
      </c>
      <c r="F1309" s="10" t="s">
        <v>44</v>
      </c>
      <c r="G1309" s="10" t="s">
        <v>87</v>
      </c>
      <c r="H1309" s="10">
        <v>1500</v>
      </c>
      <c r="I1309" s="6">
        <v>1</v>
      </c>
      <c r="J1309" s="6">
        <f>H1309*I1309</f>
        <v>1500</v>
      </c>
    </row>
    <row r="1310" spans="2:10" ht="20.100000000000001" customHeight="1" x14ac:dyDescent="0.25">
      <c r="B1310" s="5">
        <v>45158</v>
      </c>
      <c r="C1310" s="8" t="str">
        <f>"Ord-08-23-"&amp;TEXT(ROW(C103),"000")</f>
        <v>Ord-08-23-103</v>
      </c>
      <c r="D1310" s="6" t="s">
        <v>17</v>
      </c>
      <c r="E1310" s="10" t="s">
        <v>33</v>
      </c>
      <c r="F1310" s="10" t="s">
        <v>47</v>
      </c>
      <c r="G1310" s="10" t="s">
        <v>65</v>
      </c>
      <c r="H1310" s="10">
        <v>25</v>
      </c>
      <c r="I1310" s="6">
        <v>400</v>
      </c>
      <c r="J1310" s="6">
        <f>H1310*I1310</f>
        <v>10000</v>
      </c>
    </row>
    <row r="1311" spans="2:10" ht="20.100000000000001" customHeight="1" x14ac:dyDescent="0.25">
      <c r="B1311" s="5">
        <v>45158</v>
      </c>
      <c r="C1311" s="8" t="str">
        <f>"Ord-08-23-"&amp;TEXT(ROW(C104),"000")</f>
        <v>Ord-08-23-104</v>
      </c>
      <c r="D1311" s="6" t="s">
        <v>7</v>
      </c>
      <c r="E1311" s="10" t="s">
        <v>27</v>
      </c>
      <c r="F1311" s="10" t="s">
        <v>50</v>
      </c>
      <c r="G1311" s="10" t="s">
        <v>54</v>
      </c>
      <c r="H1311" s="10">
        <v>3200</v>
      </c>
      <c r="I1311" s="6">
        <v>2</v>
      </c>
      <c r="J1311" s="6">
        <f>H1311*I1311</f>
        <v>6400</v>
      </c>
    </row>
    <row r="1312" spans="2:10" ht="20.100000000000001" customHeight="1" x14ac:dyDescent="0.25">
      <c r="B1312" s="5">
        <v>45158</v>
      </c>
      <c r="C1312" s="8" t="str">
        <f>"Ord-08-23-"&amp;TEXT(ROW(C105),"000")</f>
        <v>Ord-08-23-105</v>
      </c>
      <c r="D1312" s="6" t="s">
        <v>20</v>
      </c>
      <c r="E1312" s="10" t="s">
        <v>27</v>
      </c>
      <c r="F1312" s="10" t="s">
        <v>37</v>
      </c>
      <c r="G1312" s="10" t="s">
        <v>64</v>
      </c>
      <c r="H1312" s="10">
        <v>4500</v>
      </c>
      <c r="I1312" s="6">
        <v>2</v>
      </c>
      <c r="J1312" s="6">
        <f>H1312*I1312</f>
        <v>9000</v>
      </c>
    </row>
    <row r="1313" spans="2:10" ht="20.100000000000001" customHeight="1" x14ac:dyDescent="0.25">
      <c r="B1313" s="5">
        <v>45159</v>
      </c>
      <c r="C1313" s="8" t="str">
        <f>"Ord-08-23-"&amp;TEXT(ROW(C106),"000")</f>
        <v>Ord-08-23-106</v>
      </c>
      <c r="D1313" s="6" t="s">
        <v>10</v>
      </c>
      <c r="E1313" s="10" t="s">
        <v>32</v>
      </c>
      <c r="F1313" s="10" t="s">
        <v>51</v>
      </c>
      <c r="G1313" s="10" t="s">
        <v>72</v>
      </c>
      <c r="H1313" s="10">
        <v>2200</v>
      </c>
      <c r="I1313" s="6">
        <v>2</v>
      </c>
      <c r="J1313" s="6">
        <f>H1313*I1313</f>
        <v>4400</v>
      </c>
    </row>
    <row r="1314" spans="2:10" ht="20.100000000000001" customHeight="1" x14ac:dyDescent="0.25">
      <c r="B1314" s="5">
        <v>45159</v>
      </c>
      <c r="C1314" s="8" t="str">
        <f>"Ord-08-23-"&amp;TEXT(ROW(C107),"000")</f>
        <v>Ord-08-23-107</v>
      </c>
      <c r="D1314" s="6" t="s">
        <v>16</v>
      </c>
      <c r="E1314" s="10" t="s">
        <v>33</v>
      </c>
      <c r="F1314" s="10" t="s">
        <v>46</v>
      </c>
      <c r="G1314" s="10" t="s">
        <v>65</v>
      </c>
      <c r="H1314" s="10">
        <v>15</v>
      </c>
      <c r="I1314" s="6">
        <v>180</v>
      </c>
      <c r="J1314" s="6">
        <f>H1314*I1314</f>
        <v>2700</v>
      </c>
    </row>
    <row r="1315" spans="2:10" ht="20.100000000000001" customHeight="1" x14ac:dyDescent="0.25">
      <c r="B1315" s="5">
        <v>45159</v>
      </c>
      <c r="C1315" s="8" t="str">
        <f>"Ord-08-23-"&amp;TEXT(ROW(C108),"000")</f>
        <v>Ord-08-23-108</v>
      </c>
      <c r="D1315" s="6" t="s">
        <v>10</v>
      </c>
      <c r="E1315" s="10" t="s">
        <v>36</v>
      </c>
      <c r="F1315" s="10" t="s">
        <v>36</v>
      </c>
      <c r="G1315" s="10" t="s">
        <v>78</v>
      </c>
      <c r="H1315" s="10">
        <v>2500</v>
      </c>
      <c r="I1315" s="6">
        <v>1</v>
      </c>
      <c r="J1315" s="6">
        <f>H1315*I1315</f>
        <v>2500</v>
      </c>
    </row>
    <row r="1316" spans="2:10" ht="20.100000000000001" customHeight="1" x14ac:dyDescent="0.25">
      <c r="B1316" s="5">
        <v>45159</v>
      </c>
      <c r="C1316" s="8" t="str">
        <f>"Ord-08-23-"&amp;TEXT(ROW(C109),"000")</f>
        <v>Ord-08-23-109</v>
      </c>
      <c r="D1316" s="6" t="s">
        <v>16</v>
      </c>
      <c r="E1316" s="10" t="s">
        <v>29</v>
      </c>
      <c r="F1316" s="10" t="s">
        <v>40</v>
      </c>
      <c r="G1316" s="10" t="s">
        <v>57</v>
      </c>
      <c r="H1316" s="10">
        <v>4000</v>
      </c>
      <c r="I1316" s="6">
        <v>2</v>
      </c>
      <c r="J1316" s="6">
        <f>H1316*I1316</f>
        <v>8000</v>
      </c>
    </row>
    <row r="1317" spans="2:10" ht="20.100000000000001" customHeight="1" x14ac:dyDescent="0.25">
      <c r="B1317" s="5">
        <v>45159</v>
      </c>
      <c r="C1317" s="8" t="str">
        <f>"Ord-08-23-"&amp;TEXT(ROW(C110),"000")</f>
        <v>Ord-08-23-110</v>
      </c>
      <c r="D1317" s="6" t="s">
        <v>26</v>
      </c>
      <c r="E1317" s="10" t="s">
        <v>27</v>
      </c>
      <c r="F1317" s="10" t="s">
        <v>42</v>
      </c>
      <c r="G1317" s="10" t="s">
        <v>42</v>
      </c>
      <c r="H1317" s="10">
        <v>2500</v>
      </c>
      <c r="I1317" s="6">
        <v>3</v>
      </c>
      <c r="J1317" s="6">
        <f>H1317*I1317</f>
        <v>7500</v>
      </c>
    </row>
    <row r="1318" spans="2:10" ht="20.100000000000001" customHeight="1" x14ac:dyDescent="0.25">
      <c r="B1318" s="5">
        <v>45160</v>
      </c>
      <c r="C1318" s="8" t="str">
        <f>"Ord-08-23-"&amp;TEXT(ROW(C111),"000")</f>
        <v>Ord-08-23-111</v>
      </c>
      <c r="D1318" s="6" t="s">
        <v>20</v>
      </c>
      <c r="E1318" s="10" t="s">
        <v>32</v>
      </c>
      <c r="F1318" s="10" t="s">
        <v>44</v>
      </c>
      <c r="G1318" s="10" t="s">
        <v>74</v>
      </c>
      <c r="H1318" s="10">
        <v>1800</v>
      </c>
      <c r="I1318" s="6">
        <v>4</v>
      </c>
      <c r="J1318" s="6">
        <f>H1318*I1318</f>
        <v>7200</v>
      </c>
    </row>
    <row r="1319" spans="2:10" ht="20.100000000000001" customHeight="1" x14ac:dyDescent="0.25">
      <c r="B1319" s="5">
        <v>45160</v>
      </c>
      <c r="C1319" s="8" t="str">
        <f>"Ord-08-23-"&amp;TEXT(ROW(C112),"000")</f>
        <v>Ord-08-23-112</v>
      </c>
      <c r="D1319" s="6" t="s">
        <v>17</v>
      </c>
      <c r="E1319" s="10" t="s">
        <v>30</v>
      </c>
      <c r="F1319" s="10" t="s">
        <v>90</v>
      </c>
      <c r="G1319" s="10" t="s">
        <v>86</v>
      </c>
      <c r="H1319" s="10">
        <v>7500</v>
      </c>
      <c r="I1319" s="6">
        <v>2</v>
      </c>
      <c r="J1319" s="6">
        <f>H1319*I1319</f>
        <v>15000</v>
      </c>
    </row>
    <row r="1320" spans="2:10" ht="20.100000000000001" customHeight="1" x14ac:dyDescent="0.25">
      <c r="B1320" s="5">
        <v>45160</v>
      </c>
      <c r="C1320" s="8" t="str">
        <f>"Ord-08-23-"&amp;TEXT(ROW(C113),"000")</f>
        <v>Ord-08-23-113</v>
      </c>
      <c r="D1320" s="6" t="s">
        <v>23</v>
      </c>
      <c r="E1320" s="10" t="s">
        <v>27</v>
      </c>
      <c r="F1320" s="10" t="s">
        <v>38</v>
      </c>
      <c r="G1320" s="10" t="s">
        <v>64</v>
      </c>
      <c r="H1320" s="10">
        <v>4800</v>
      </c>
      <c r="I1320" s="7">
        <v>2</v>
      </c>
      <c r="J1320" s="6">
        <f>H1320*I1320</f>
        <v>9600</v>
      </c>
    </row>
    <row r="1321" spans="2:10" ht="20.100000000000001" customHeight="1" x14ac:dyDescent="0.25">
      <c r="B1321" s="5">
        <v>45160</v>
      </c>
      <c r="C1321" s="8" t="str">
        <f>"Ord-08-23-"&amp;TEXT(ROW(C114),"000")</f>
        <v>Ord-08-23-114</v>
      </c>
      <c r="D1321" s="6" t="s">
        <v>24</v>
      </c>
      <c r="E1321" s="10" t="s">
        <v>27</v>
      </c>
      <c r="F1321" s="10" t="s">
        <v>38</v>
      </c>
      <c r="G1321" s="10" t="s">
        <v>64</v>
      </c>
      <c r="H1321" s="10">
        <v>4800</v>
      </c>
      <c r="I1321" s="7">
        <v>2</v>
      </c>
      <c r="J1321" s="6">
        <f>H1321*I1321</f>
        <v>9600</v>
      </c>
    </row>
    <row r="1322" spans="2:10" ht="20.100000000000001" customHeight="1" x14ac:dyDescent="0.25">
      <c r="B1322" s="5">
        <v>45160</v>
      </c>
      <c r="C1322" s="8" t="str">
        <f>"Ord-08-23-"&amp;TEXT(ROW(C115),"000")</f>
        <v>Ord-08-23-115</v>
      </c>
      <c r="D1322" s="6" t="s">
        <v>16</v>
      </c>
      <c r="E1322" s="10" t="s">
        <v>27</v>
      </c>
      <c r="F1322" s="10" t="s">
        <v>41</v>
      </c>
      <c r="G1322" s="10" t="s">
        <v>54</v>
      </c>
      <c r="H1322" s="10">
        <v>2800</v>
      </c>
      <c r="I1322" s="6">
        <v>2</v>
      </c>
      <c r="J1322" s="6">
        <f>H1322*I1322</f>
        <v>5600</v>
      </c>
    </row>
    <row r="1323" spans="2:10" ht="20.100000000000001" customHeight="1" x14ac:dyDescent="0.25">
      <c r="B1323" s="5">
        <v>45161</v>
      </c>
      <c r="C1323" s="8" t="str">
        <f>"Ord-08-23-"&amp;TEXT(ROW(C116),"000")</f>
        <v>Ord-08-23-116</v>
      </c>
      <c r="D1323" s="6" t="s">
        <v>21</v>
      </c>
      <c r="E1323" s="10" t="s">
        <v>33</v>
      </c>
      <c r="F1323" s="10" t="s">
        <v>47</v>
      </c>
      <c r="G1323" s="10" t="s">
        <v>65</v>
      </c>
      <c r="H1323" s="10">
        <v>25</v>
      </c>
      <c r="I1323" s="6">
        <v>270</v>
      </c>
      <c r="J1323" s="6">
        <f>H1323*I1323</f>
        <v>6750</v>
      </c>
    </row>
    <row r="1324" spans="2:10" ht="20.100000000000001" customHeight="1" x14ac:dyDescent="0.25">
      <c r="B1324" s="5">
        <v>45161</v>
      </c>
      <c r="C1324" s="8" t="str">
        <f>"Ord-08-23-"&amp;TEXT(ROW(C117),"000")</f>
        <v>Ord-08-23-117</v>
      </c>
      <c r="D1324" s="6" t="s">
        <v>9</v>
      </c>
      <c r="E1324" s="10" t="s">
        <v>33</v>
      </c>
      <c r="F1324" s="10" t="s">
        <v>47</v>
      </c>
      <c r="G1324" s="10" t="s">
        <v>65</v>
      </c>
      <c r="H1324" s="10">
        <v>25</v>
      </c>
      <c r="I1324" s="6">
        <v>550</v>
      </c>
      <c r="J1324" s="6">
        <f>H1324*I1324</f>
        <v>13750</v>
      </c>
    </row>
    <row r="1325" spans="2:10" ht="20.100000000000001" customHeight="1" x14ac:dyDescent="0.25">
      <c r="B1325" s="5">
        <v>45161</v>
      </c>
      <c r="C1325" s="8" t="str">
        <f>"Ord-08-23-"&amp;TEXT(ROW(C118),"000")</f>
        <v>Ord-08-23-118</v>
      </c>
      <c r="D1325" s="6" t="s">
        <v>23</v>
      </c>
      <c r="E1325" s="10" t="s">
        <v>31</v>
      </c>
      <c r="F1325" s="10" t="s">
        <v>45</v>
      </c>
      <c r="G1325" s="10" t="s">
        <v>67</v>
      </c>
      <c r="H1325" s="10">
        <v>8500</v>
      </c>
      <c r="I1325" s="6">
        <v>2</v>
      </c>
      <c r="J1325" s="6">
        <f>H1325*I1325</f>
        <v>17000</v>
      </c>
    </row>
    <row r="1326" spans="2:10" ht="20.100000000000001" customHeight="1" x14ac:dyDescent="0.25">
      <c r="B1326" s="5">
        <v>45161</v>
      </c>
      <c r="C1326" s="8" t="str">
        <f>"Ord-08-23-"&amp;TEXT(ROW(C119),"000")</f>
        <v>Ord-08-23-119</v>
      </c>
      <c r="D1326" s="6" t="s">
        <v>23</v>
      </c>
      <c r="E1326" s="10" t="s">
        <v>31</v>
      </c>
      <c r="F1326" s="10" t="s">
        <v>48</v>
      </c>
      <c r="G1326" s="10" t="s">
        <v>82</v>
      </c>
      <c r="H1326" s="10">
        <v>8500</v>
      </c>
      <c r="I1326" s="6">
        <v>1</v>
      </c>
      <c r="J1326" s="6">
        <f>H1326*I1326</f>
        <v>8500</v>
      </c>
    </row>
    <row r="1327" spans="2:10" ht="20.100000000000001" customHeight="1" x14ac:dyDescent="0.25">
      <c r="B1327" s="5">
        <v>45161</v>
      </c>
      <c r="C1327" s="8" t="str">
        <f>"Ord-08-23-"&amp;TEXT(ROW(C120),"000")</f>
        <v>Ord-08-23-120</v>
      </c>
      <c r="D1327" s="6" t="s">
        <v>22</v>
      </c>
      <c r="E1327" s="10" t="s">
        <v>27</v>
      </c>
      <c r="F1327" s="10" t="s">
        <v>50</v>
      </c>
      <c r="G1327" s="10" t="s">
        <v>54</v>
      </c>
      <c r="H1327" s="10">
        <v>3200</v>
      </c>
      <c r="I1327" s="6">
        <v>1</v>
      </c>
      <c r="J1327" s="6">
        <f>H1327*I1327</f>
        <v>3200</v>
      </c>
    </row>
    <row r="1328" spans="2:10" ht="20.100000000000001" customHeight="1" x14ac:dyDescent="0.25">
      <c r="B1328" s="5">
        <v>45162</v>
      </c>
      <c r="C1328" s="8" t="str">
        <f>"Ord-08-23-"&amp;TEXT(ROW(C121),"000")</f>
        <v>Ord-08-23-121</v>
      </c>
      <c r="D1328" s="6" t="s">
        <v>18</v>
      </c>
      <c r="E1328" s="10" t="s">
        <v>35</v>
      </c>
      <c r="F1328" s="12" t="s">
        <v>90</v>
      </c>
      <c r="G1328" s="10" t="s">
        <v>58</v>
      </c>
      <c r="H1328" s="10">
        <v>7500</v>
      </c>
      <c r="I1328" s="6">
        <v>5</v>
      </c>
      <c r="J1328" s="6">
        <f>H1328*I1328</f>
        <v>37500</v>
      </c>
    </row>
    <row r="1329" spans="2:10" ht="20.100000000000001" customHeight="1" x14ac:dyDescent="0.25">
      <c r="B1329" s="5">
        <v>45162</v>
      </c>
      <c r="C1329" s="8" t="str">
        <f>"Ord-08-23-"&amp;TEXT(ROW(C122),"000")</f>
        <v>Ord-08-23-122</v>
      </c>
      <c r="D1329" s="6" t="s">
        <v>12</v>
      </c>
      <c r="E1329" s="10" t="s">
        <v>32</v>
      </c>
      <c r="F1329" s="10" t="s">
        <v>44</v>
      </c>
      <c r="G1329" s="10" t="s">
        <v>74</v>
      </c>
      <c r="H1329" s="10">
        <v>1800</v>
      </c>
      <c r="I1329" s="6">
        <v>2</v>
      </c>
      <c r="J1329" s="6">
        <f>H1329*I1329</f>
        <v>3600</v>
      </c>
    </row>
    <row r="1330" spans="2:10" ht="20.100000000000001" customHeight="1" x14ac:dyDescent="0.25">
      <c r="B1330" s="5">
        <v>45162</v>
      </c>
      <c r="C1330" s="8" t="str">
        <f>"Ord-08-23-"&amp;TEXT(ROW(C123),"000")</f>
        <v>Ord-08-23-123</v>
      </c>
      <c r="D1330" s="6" t="s">
        <v>10</v>
      </c>
      <c r="E1330" s="10" t="s">
        <v>29</v>
      </c>
      <c r="F1330" s="10" t="s">
        <v>39</v>
      </c>
      <c r="G1330" s="10" t="s">
        <v>60</v>
      </c>
      <c r="H1330" s="10">
        <v>1500</v>
      </c>
      <c r="I1330" s="6">
        <v>2</v>
      </c>
      <c r="J1330" s="6">
        <f>H1330*I1330</f>
        <v>3000</v>
      </c>
    </row>
    <row r="1331" spans="2:10" ht="20.100000000000001" customHeight="1" x14ac:dyDescent="0.25">
      <c r="B1331" s="5">
        <v>45162</v>
      </c>
      <c r="C1331" s="8" t="str">
        <f>"Ord-08-23-"&amp;TEXT(ROW(C124),"000")</f>
        <v>Ord-08-23-124</v>
      </c>
      <c r="D1331" s="6" t="s">
        <v>23</v>
      </c>
      <c r="E1331" s="10" t="s">
        <v>27</v>
      </c>
      <c r="F1331" s="10" t="s">
        <v>42</v>
      </c>
      <c r="G1331" s="10" t="s">
        <v>42</v>
      </c>
      <c r="H1331" s="10">
        <v>2500</v>
      </c>
      <c r="I1331" s="6">
        <v>5</v>
      </c>
      <c r="J1331" s="6">
        <f>H1331*I1331</f>
        <v>12500</v>
      </c>
    </row>
    <row r="1332" spans="2:10" ht="20.100000000000001" customHeight="1" x14ac:dyDescent="0.25">
      <c r="B1332" s="5">
        <v>45162</v>
      </c>
      <c r="C1332" s="8" t="str">
        <f>"Ord-08-23-"&amp;TEXT(ROW(C125),"000")</f>
        <v>Ord-08-23-125</v>
      </c>
      <c r="D1332" s="6" t="s">
        <v>12</v>
      </c>
      <c r="E1332" s="10" t="s">
        <v>27</v>
      </c>
      <c r="F1332" s="10" t="s">
        <v>38</v>
      </c>
      <c r="G1332" s="10" t="s">
        <v>64</v>
      </c>
      <c r="H1332" s="10">
        <v>4800</v>
      </c>
      <c r="I1332" s="6">
        <v>1</v>
      </c>
      <c r="J1332" s="6">
        <f>H1332*I1332</f>
        <v>4800</v>
      </c>
    </row>
    <row r="1333" spans="2:10" ht="20.100000000000001" customHeight="1" x14ac:dyDescent="0.25">
      <c r="B1333" s="5">
        <v>45163</v>
      </c>
      <c r="C1333" s="8" t="str">
        <f>"Ord-08-23-"&amp;TEXT(ROW(C126),"000")</f>
        <v>Ord-08-23-126</v>
      </c>
      <c r="D1333" s="6" t="s">
        <v>8</v>
      </c>
      <c r="E1333" s="10" t="s">
        <v>35</v>
      </c>
      <c r="F1333" s="12" t="s">
        <v>90</v>
      </c>
      <c r="G1333" s="10" t="s">
        <v>71</v>
      </c>
      <c r="H1333" s="10">
        <v>5500</v>
      </c>
      <c r="I1333" s="6">
        <v>2</v>
      </c>
      <c r="J1333" s="6">
        <f>H1333*I1333</f>
        <v>11000</v>
      </c>
    </row>
    <row r="1334" spans="2:10" ht="20.100000000000001" customHeight="1" x14ac:dyDescent="0.25">
      <c r="B1334" s="5">
        <v>45163</v>
      </c>
      <c r="C1334" s="8" t="str">
        <f>"Ord-08-23-"&amp;TEXT(ROW(C127),"000")</f>
        <v>Ord-08-23-127</v>
      </c>
      <c r="D1334" s="6" t="s">
        <v>11</v>
      </c>
      <c r="E1334" s="10" t="s">
        <v>28</v>
      </c>
      <c r="F1334" s="10" t="s">
        <v>28</v>
      </c>
      <c r="G1334" s="10" t="s">
        <v>55</v>
      </c>
      <c r="H1334" s="10">
        <v>750</v>
      </c>
      <c r="I1334" s="6">
        <v>4</v>
      </c>
      <c r="J1334" s="6">
        <f>H1334*I1334</f>
        <v>3000</v>
      </c>
    </row>
    <row r="1335" spans="2:10" ht="20.100000000000001" customHeight="1" x14ac:dyDescent="0.25">
      <c r="B1335" s="5">
        <v>45163</v>
      </c>
      <c r="C1335" s="8" t="str">
        <f>"Ord-08-23-"&amp;TEXT(ROW(C128),"000")</f>
        <v>Ord-08-23-128</v>
      </c>
      <c r="D1335" s="6" t="s">
        <v>13</v>
      </c>
      <c r="E1335" s="10" t="s">
        <v>31</v>
      </c>
      <c r="F1335" s="10" t="s">
        <v>48</v>
      </c>
      <c r="G1335" s="10" t="s">
        <v>66</v>
      </c>
      <c r="H1335" s="10">
        <v>3500</v>
      </c>
      <c r="I1335" s="6">
        <v>3</v>
      </c>
      <c r="J1335" s="6">
        <f>H1335*I1335</f>
        <v>10500</v>
      </c>
    </row>
    <row r="1336" spans="2:10" ht="20.100000000000001" customHeight="1" x14ac:dyDescent="0.25">
      <c r="B1336" s="5">
        <v>45163</v>
      </c>
      <c r="C1336" s="8" t="str">
        <f>"Ord-08-23-"&amp;TEXT(ROW(C129),"000")</f>
        <v>Ord-08-23-129</v>
      </c>
      <c r="D1336" s="6" t="s">
        <v>26</v>
      </c>
      <c r="E1336" s="10" t="s">
        <v>36</v>
      </c>
      <c r="F1336" s="10" t="s">
        <v>36</v>
      </c>
      <c r="G1336" s="10" t="s">
        <v>85</v>
      </c>
      <c r="H1336" s="10">
        <v>2200</v>
      </c>
      <c r="I1336" s="6">
        <v>3</v>
      </c>
      <c r="J1336" s="6">
        <f>H1336*I1336</f>
        <v>6600</v>
      </c>
    </row>
    <row r="1337" spans="2:10" ht="20.100000000000001" customHeight="1" x14ac:dyDescent="0.25">
      <c r="B1337" s="5">
        <v>45163</v>
      </c>
      <c r="C1337" s="8" t="str">
        <f>"Ord-08-23-"&amp;TEXT(ROW(C130),"000")</f>
        <v>Ord-08-23-130</v>
      </c>
      <c r="D1337" s="6" t="s">
        <v>23</v>
      </c>
      <c r="E1337" s="10" t="s">
        <v>30</v>
      </c>
      <c r="F1337" s="10" t="s">
        <v>90</v>
      </c>
      <c r="G1337" s="10" t="s">
        <v>59</v>
      </c>
      <c r="H1337" s="10">
        <v>4800</v>
      </c>
      <c r="I1337" s="6">
        <v>3</v>
      </c>
      <c r="J1337" s="6">
        <f>H1337*I1337</f>
        <v>14400</v>
      </c>
    </row>
    <row r="1338" spans="2:10" ht="20.100000000000001" customHeight="1" x14ac:dyDescent="0.25">
      <c r="B1338" s="5">
        <v>45164</v>
      </c>
      <c r="C1338" s="8" t="str">
        <f>"Ord-08-23-"&amp;TEXT(ROW(C131),"000")</f>
        <v>Ord-08-23-131</v>
      </c>
      <c r="D1338" s="6" t="s">
        <v>20</v>
      </c>
      <c r="E1338" s="10" t="s">
        <v>33</v>
      </c>
      <c r="F1338" s="10" t="s">
        <v>46</v>
      </c>
      <c r="G1338" s="10" t="s">
        <v>65</v>
      </c>
      <c r="H1338" s="10">
        <v>15</v>
      </c>
      <c r="I1338" s="6">
        <v>600</v>
      </c>
      <c r="J1338" s="6">
        <f>H1338*I1338</f>
        <v>9000</v>
      </c>
    </row>
    <row r="1339" spans="2:10" ht="20.100000000000001" customHeight="1" x14ac:dyDescent="0.25">
      <c r="B1339" s="5">
        <v>45164</v>
      </c>
      <c r="C1339" s="8" t="str">
        <f>"Ord-08-23-"&amp;TEXT(ROW(C132),"000")</f>
        <v>Ord-08-23-132</v>
      </c>
      <c r="D1339" s="6" t="s">
        <v>18</v>
      </c>
      <c r="E1339" s="10" t="s">
        <v>31</v>
      </c>
      <c r="F1339" s="10" t="s">
        <v>52</v>
      </c>
      <c r="G1339" s="10" t="s">
        <v>76</v>
      </c>
      <c r="H1339" s="10">
        <v>2800</v>
      </c>
      <c r="I1339" s="6">
        <v>6</v>
      </c>
      <c r="J1339" s="6">
        <f>H1339*I1339</f>
        <v>16800</v>
      </c>
    </row>
    <row r="1340" spans="2:10" ht="20.100000000000001" customHeight="1" x14ac:dyDescent="0.25">
      <c r="B1340" s="5">
        <v>45164</v>
      </c>
      <c r="C1340" s="8" t="str">
        <f>"Ord-08-23-"&amp;TEXT(ROW(C133),"000")</f>
        <v>Ord-08-23-133</v>
      </c>
      <c r="D1340" s="6" t="s">
        <v>19</v>
      </c>
      <c r="E1340" s="10" t="s">
        <v>36</v>
      </c>
      <c r="F1340" s="10" t="s">
        <v>36</v>
      </c>
      <c r="G1340" s="10" t="s">
        <v>85</v>
      </c>
      <c r="H1340" s="10">
        <v>2200</v>
      </c>
      <c r="I1340" s="6">
        <v>3</v>
      </c>
      <c r="J1340" s="6">
        <f>H1340*I1340</f>
        <v>6600</v>
      </c>
    </row>
    <row r="1341" spans="2:10" ht="20.100000000000001" customHeight="1" x14ac:dyDescent="0.25">
      <c r="B1341" s="5">
        <v>45164</v>
      </c>
      <c r="C1341" s="8" t="str">
        <f>"Ord-08-23-"&amp;TEXT(ROW(C134),"000")</f>
        <v>Ord-08-23-134</v>
      </c>
      <c r="D1341" s="6" t="s">
        <v>16</v>
      </c>
      <c r="E1341" s="10" t="s">
        <v>27</v>
      </c>
      <c r="F1341" s="10" t="s">
        <v>50</v>
      </c>
      <c r="G1341" s="10" t="s">
        <v>64</v>
      </c>
      <c r="H1341" s="10">
        <v>3000</v>
      </c>
      <c r="I1341" s="6">
        <v>5</v>
      </c>
      <c r="J1341" s="6">
        <f>H1341*I1341</f>
        <v>15000</v>
      </c>
    </row>
    <row r="1342" spans="2:10" ht="20.100000000000001" customHeight="1" x14ac:dyDescent="0.25">
      <c r="B1342" s="5">
        <v>45164</v>
      </c>
      <c r="C1342" s="8" t="str">
        <f>"Ord-08-23-"&amp;TEXT(ROW(C135),"000")</f>
        <v>Ord-08-23-135</v>
      </c>
      <c r="D1342" s="6" t="s">
        <v>16</v>
      </c>
      <c r="E1342" s="10" t="s">
        <v>27</v>
      </c>
      <c r="F1342" s="10" t="s">
        <v>38</v>
      </c>
      <c r="G1342" s="10" t="s">
        <v>54</v>
      </c>
      <c r="H1342" s="10">
        <v>5200</v>
      </c>
      <c r="I1342" s="7">
        <v>2</v>
      </c>
      <c r="J1342" s="6">
        <f>H1342*I1342</f>
        <v>10400</v>
      </c>
    </row>
    <row r="1343" spans="2:10" ht="20.100000000000001" customHeight="1" x14ac:dyDescent="0.25">
      <c r="B1343" s="5">
        <v>45165</v>
      </c>
      <c r="C1343" s="8" t="str">
        <f>"Ord-08-23-"&amp;TEXT(ROW(C136),"000")</f>
        <v>Ord-08-23-136</v>
      </c>
      <c r="D1343" s="6" t="s">
        <v>26</v>
      </c>
      <c r="E1343" s="10" t="s">
        <v>32</v>
      </c>
      <c r="F1343" s="10" t="s">
        <v>51</v>
      </c>
      <c r="G1343" s="10" t="s">
        <v>83</v>
      </c>
      <c r="H1343" s="10">
        <v>4000</v>
      </c>
      <c r="I1343" s="6">
        <v>2</v>
      </c>
      <c r="J1343" s="6">
        <f>H1343*I1343</f>
        <v>8000</v>
      </c>
    </row>
    <row r="1344" spans="2:10" ht="20.100000000000001" customHeight="1" x14ac:dyDescent="0.25">
      <c r="B1344" s="5">
        <v>45165</v>
      </c>
      <c r="C1344" s="8" t="str">
        <f>"Ord-08-23-"&amp;TEXT(ROW(C137),"000")</f>
        <v>Ord-08-23-137</v>
      </c>
      <c r="D1344" s="6" t="s">
        <v>8</v>
      </c>
      <c r="E1344" s="10" t="s">
        <v>32</v>
      </c>
      <c r="F1344" s="10" t="s">
        <v>51</v>
      </c>
      <c r="G1344" s="10" t="s">
        <v>72</v>
      </c>
      <c r="H1344" s="10">
        <v>2200</v>
      </c>
      <c r="I1344" s="6">
        <v>2</v>
      </c>
      <c r="J1344" s="6">
        <f>H1344*I1344</f>
        <v>4400</v>
      </c>
    </row>
    <row r="1345" spans="2:10" ht="20.100000000000001" customHeight="1" x14ac:dyDescent="0.25">
      <c r="B1345" s="5">
        <v>45165</v>
      </c>
      <c r="C1345" s="8" t="str">
        <f>"Ord-08-23-"&amp;TEXT(ROW(C138),"000")</f>
        <v>Ord-08-23-138</v>
      </c>
      <c r="D1345" s="6" t="s">
        <v>18</v>
      </c>
      <c r="E1345" s="10" t="s">
        <v>31</v>
      </c>
      <c r="F1345" s="10" t="s">
        <v>43</v>
      </c>
      <c r="G1345" s="10" t="s">
        <v>63</v>
      </c>
      <c r="H1345" s="10">
        <v>4200</v>
      </c>
      <c r="I1345" s="6">
        <v>1</v>
      </c>
      <c r="J1345" s="6">
        <f>H1345*I1345</f>
        <v>4200</v>
      </c>
    </row>
    <row r="1346" spans="2:10" ht="20.100000000000001" customHeight="1" x14ac:dyDescent="0.25">
      <c r="B1346" s="5">
        <v>45165</v>
      </c>
      <c r="C1346" s="8" t="str">
        <f>"Ord-08-23-"&amp;TEXT(ROW(C139),"000")</f>
        <v>Ord-08-23-139</v>
      </c>
      <c r="D1346" s="6" t="s">
        <v>14</v>
      </c>
      <c r="E1346" s="10" t="s">
        <v>31</v>
      </c>
      <c r="F1346" s="10" t="s">
        <v>52</v>
      </c>
      <c r="G1346" s="10" t="s">
        <v>63</v>
      </c>
      <c r="H1346" s="10">
        <v>2800</v>
      </c>
      <c r="I1346" s="6">
        <v>3</v>
      </c>
      <c r="J1346" s="6">
        <f>H1346*I1346</f>
        <v>8400</v>
      </c>
    </row>
    <row r="1347" spans="2:10" ht="20.100000000000001" customHeight="1" x14ac:dyDescent="0.25">
      <c r="B1347" s="5">
        <v>45165</v>
      </c>
      <c r="C1347" s="8" t="str">
        <f>"Ord-08-23-"&amp;TEXT(ROW(C140),"000")</f>
        <v>Ord-08-23-140</v>
      </c>
      <c r="D1347" s="6" t="s">
        <v>8</v>
      </c>
      <c r="E1347" s="10" t="s">
        <v>27</v>
      </c>
      <c r="F1347" s="10" t="s">
        <v>38</v>
      </c>
      <c r="G1347" s="10" t="s">
        <v>53</v>
      </c>
      <c r="H1347" s="10">
        <v>5500</v>
      </c>
      <c r="I1347" s="7">
        <v>2</v>
      </c>
      <c r="J1347" s="6">
        <f>H1347*I1347</f>
        <v>11000</v>
      </c>
    </row>
    <row r="1348" spans="2:10" ht="20.100000000000001" customHeight="1" x14ac:dyDescent="0.25">
      <c r="B1348" s="5">
        <v>45166</v>
      </c>
      <c r="C1348" s="8" t="str">
        <f>"Ord-08-23-"&amp;TEXT(ROW(C141),"000")</f>
        <v>Ord-08-23-141</v>
      </c>
      <c r="D1348" s="6" t="s">
        <v>22</v>
      </c>
      <c r="E1348" s="10" t="s">
        <v>32</v>
      </c>
      <c r="F1348" s="10" t="s">
        <v>51</v>
      </c>
      <c r="G1348" s="10" t="s">
        <v>81</v>
      </c>
      <c r="H1348" s="10">
        <v>3000</v>
      </c>
      <c r="I1348" s="6">
        <v>3</v>
      </c>
      <c r="J1348" s="6">
        <f>H1348*I1348</f>
        <v>9000</v>
      </c>
    </row>
    <row r="1349" spans="2:10" ht="20.100000000000001" customHeight="1" x14ac:dyDescent="0.25">
      <c r="B1349" s="5">
        <v>45166</v>
      </c>
      <c r="C1349" s="8" t="str">
        <f>"Ord-08-23-"&amp;TEXT(ROW(C142),"000")</f>
        <v>Ord-08-23-142</v>
      </c>
      <c r="D1349" s="6" t="s">
        <v>12</v>
      </c>
      <c r="E1349" s="10" t="s">
        <v>31</v>
      </c>
      <c r="F1349" s="10" t="s">
        <v>52</v>
      </c>
      <c r="G1349" s="10" t="s">
        <v>73</v>
      </c>
      <c r="H1349" s="10">
        <v>2500</v>
      </c>
      <c r="I1349" s="6">
        <v>3</v>
      </c>
      <c r="J1349" s="6">
        <f>H1349*I1349</f>
        <v>7500</v>
      </c>
    </row>
    <row r="1350" spans="2:10" ht="20.100000000000001" customHeight="1" x14ac:dyDescent="0.25">
      <c r="B1350" s="5">
        <v>45166</v>
      </c>
      <c r="C1350" s="8" t="str">
        <f>"Ord-08-23-"&amp;TEXT(ROW(C143),"000")</f>
        <v>Ord-08-23-143</v>
      </c>
      <c r="D1350" s="6" t="s">
        <v>26</v>
      </c>
      <c r="E1350" s="10" t="s">
        <v>36</v>
      </c>
      <c r="F1350" s="10" t="s">
        <v>36</v>
      </c>
      <c r="G1350" s="10" t="s">
        <v>41</v>
      </c>
      <c r="H1350" s="10">
        <v>2000</v>
      </c>
      <c r="I1350" s="6">
        <v>2</v>
      </c>
      <c r="J1350" s="6">
        <f>H1350*I1350</f>
        <v>4000</v>
      </c>
    </row>
    <row r="1351" spans="2:10" ht="20.100000000000001" customHeight="1" x14ac:dyDescent="0.25">
      <c r="B1351" s="5">
        <v>45166</v>
      </c>
      <c r="C1351" s="8" t="str">
        <f>"Ord-08-23-"&amp;TEXT(ROW(C144),"000")</f>
        <v>Ord-08-23-144</v>
      </c>
      <c r="D1351" s="6" t="s">
        <v>20</v>
      </c>
      <c r="E1351" s="10" t="s">
        <v>29</v>
      </c>
      <c r="F1351" s="10" t="s">
        <v>39</v>
      </c>
      <c r="G1351" s="10" t="s">
        <v>56</v>
      </c>
      <c r="H1351" s="10">
        <v>2500</v>
      </c>
      <c r="I1351" s="6">
        <v>2</v>
      </c>
      <c r="J1351" s="6">
        <f>H1351*I1351</f>
        <v>5000</v>
      </c>
    </row>
    <row r="1352" spans="2:10" ht="20.100000000000001" customHeight="1" x14ac:dyDescent="0.25">
      <c r="B1352" s="5">
        <v>45166</v>
      </c>
      <c r="C1352" s="8" t="str">
        <f>"Ord-08-23-"&amp;TEXT(ROW(C145),"000")</f>
        <v>Ord-08-23-145</v>
      </c>
      <c r="D1352" s="6" t="s">
        <v>17</v>
      </c>
      <c r="E1352" s="10" t="s">
        <v>27</v>
      </c>
      <c r="F1352" s="10" t="s">
        <v>38</v>
      </c>
      <c r="G1352" s="10" t="s">
        <v>54</v>
      </c>
      <c r="H1352" s="10">
        <v>5200</v>
      </c>
      <c r="I1352" s="7">
        <v>2</v>
      </c>
      <c r="J1352" s="6">
        <f>H1352*I1352</f>
        <v>10400</v>
      </c>
    </row>
    <row r="1353" spans="2:10" ht="20.100000000000001" customHeight="1" x14ac:dyDescent="0.25">
      <c r="B1353" s="5">
        <v>45167</v>
      </c>
      <c r="C1353" s="8" t="str">
        <f>"Ord-08-23-"&amp;TEXT(ROW(C146),"000")</f>
        <v>Ord-08-23-146</v>
      </c>
      <c r="D1353" s="6" t="s">
        <v>11</v>
      </c>
      <c r="E1353" s="10" t="s">
        <v>31</v>
      </c>
      <c r="F1353" s="10" t="s">
        <v>45</v>
      </c>
      <c r="G1353" s="10" t="s">
        <v>63</v>
      </c>
      <c r="H1353" s="10">
        <v>1800</v>
      </c>
      <c r="I1353" s="6">
        <v>2</v>
      </c>
      <c r="J1353" s="6">
        <f>H1353*I1353</f>
        <v>3600</v>
      </c>
    </row>
    <row r="1354" spans="2:10" ht="20.100000000000001" customHeight="1" x14ac:dyDescent="0.25">
      <c r="B1354" s="5">
        <v>45167</v>
      </c>
      <c r="C1354" s="8" t="str">
        <f>"Ord-08-23-"&amp;TEXT(ROW(C147),"000")</f>
        <v>Ord-08-23-147</v>
      </c>
      <c r="D1354" s="6" t="s">
        <v>10</v>
      </c>
      <c r="E1354" s="10" t="s">
        <v>31</v>
      </c>
      <c r="F1354" s="10" t="s">
        <v>45</v>
      </c>
      <c r="G1354" s="10" t="s">
        <v>59</v>
      </c>
      <c r="H1354" s="10">
        <v>4000</v>
      </c>
      <c r="I1354" s="6">
        <v>1</v>
      </c>
      <c r="J1354" s="6">
        <f>H1354*I1354</f>
        <v>4000</v>
      </c>
    </row>
    <row r="1355" spans="2:10" ht="20.100000000000001" customHeight="1" x14ac:dyDescent="0.25">
      <c r="B1355" s="5">
        <v>45167</v>
      </c>
      <c r="C1355" s="8" t="str">
        <f>"Ord-08-23-"&amp;TEXT(ROW(C148),"000")</f>
        <v>Ord-08-23-148</v>
      </c>
      <c r="D1355" s="6" t="s">
        <v>9</v>
      </c>
      <c r="E1355" s="10" t="s">
        <v>31</v>
      </c>
      <c r="F1355" s="10" t="s">
        <v>52</v>
      </c>
      <c r="G1355" s="10" t="s">
        <v>76</v>
      </c>
      <c r="H1355" s="10">
        <v>2800</v>
      </c>
      <c r="I1355" s="6">
        <v>4</v>
      </c>
      <c r="J1355" s="6">
        <f>H1355*I1355</f>
        <v>11200</v>
      </c>
    </row>
    <row r="1356" spans="2:10" ht="20.100000000000001" customHeight="1" x14ac:dyDescent="0.25">
      <c r="B1356" s="5">
        <v>45167</v>
      </c>
      <c r="C1356" s="8" t="str">
        <f>"Ord-08-23-"&amp;TEXT(ROW(C149),"000")</f>
        <v>Ord-08-23-149</v>
      </c>
      <c r="D1356" s="6" t="s">
        <v>24</v>
      </c>
      <c r="E1356" s="10" t="s">
        <v>27</v>
      </c>
      <c r="F1356" s="10" t="s">
        <v>38</v>
      </c>
      <c r="G1356" s="10" t="s">
        <v>53</v>
      </c>
      <c r="H1356" s="10">
        <v>5500</v>
      </c>
      <c r="I1356" s="6">
        <v>1</v>
      </c>
      <c r="J1356" s="6">
        <f>H1356*I1356</f>
        <v>5500</v>
      </c>
    </row>
    <row r="1357" spans="2:10" ht="20.100000000000001" customHeight="1" x14ac:dyDescent="0.25">
      <c r="B1357" s="5">
        <v>45167</v>
      </c>
      <c r="C1357" s="8" t="str">
        <f>"Ord-08-23-"&amp;TEXT(ROW(C150),"000")</f>
        <v>Ord-08-23-150</v>
      </c>
      <c r="D1357" s="6" t="s">
        <v>23</v>
      </c>
      <c r="E1357" s="10" t="s">
        <v>27</v>
      </c>
      <c r="F1357" s="10" t="s">
        <v>38</v>
      </c>
      <c r="G1357" s="10" t="s">
        <v>64</v>
      </c>
      <c r="H1357" s="10">
        <v>4800</v>
      </c>
      <c r="I1357" s="6">
        <v>1</v>
      </c>
      <c r="J1357" s="6">
        <f>H1357*I1357</f>
        <v>4800</v>
      </c>
    </row>
    <row r="1358" spans="2:10" ht="20.100000000000001" customHeight="1" x14ac:dyDescent="0.25">
      <c r="B1358" s="5">
        <v>45168</v>
      </c>
      <c r="C1358" s="8" t="str">
        <f>"Ord-08-23-"&amp;TEXT(ROW(C151),"000")</f>
        <v>Ord-08-23-151</v>
      </c>
      <c r="D1358" s="6" t="s">
        <v>7</v>
      </c>
      <c r="E1358" s="10" t="s">
        <v>33</v>
      </c>
      <c r="F1358" s="10" t="s">
        <v>46</v>
      </c>
      <c r="G1358" s="10" t="s">
        <v>65</v>
      </c>
      <c r="H1358" s="10">
        <v>15</v>
      </c>
      <c r="I1358" s="6">
        <v>350</v>
      </c>
      <c r="J1358" s="6">
        <f>H1358*I1358</f>
        <v>5250</v>
      </c>
    </row>
    <row r="1359" spans="2:10" ht="20.100000000000001" customHeight="1" x14ac:dyDescent="0.25">
      <c r="B1359" s="5">
        <v>45168</v>
      </c>
      <c r="C1359" s="8" t="str">
        <f>"Ord-08-23-"&amp;TEXT(ROW(C152),"000")</f>
        <v>Ord-08-23-152</v>
      </c>
      <c r="D1359" s="6" t="s">
        <v>19</v>
      </c>
      <c r="E1359" s="10" t="s">
        <v>31</v>
      </c>
      <c r="F1359" s="10" t="s">
        <v>45</v>
      </c>
      <c r="G1359" s="10" t="s">
        <v>66</v>
      </c>
      <c r="H1359" s="10">
        <v>2300</v>
      </c>
      <c r="I1359" s="6">
        <v>3</v>
      </c>
      <c r="J1359" s="6">
        <f>H1359*I1359</f>
        <v>6900</v>
      </c>
    </row>
    <row r="1360" spans="2:10" ht="20.100000000000001" customHeight="1" x14ac:dyDescent="0.25">
      <c r="B1360" s="5">
        <v>45168</v>
      </c>
      <c r="C1360" s="8" t="str">
        <f>"Ord-08-23-"&amp;TEXT(ROW(C153),"000")</f>
        <v>Ord-08-23-153</v>
      </c>
      <c r="D1360" s="6" t="s">
        <v>17</v>
      </c>
      <c r="E1360" s="10" t="s">
        <v>27</v>
      </c>
      <c r="F1360" s="10" t="s">
        <v>42</v>
      </c>
      <c r="G1360" s="10" t="s">
        <v>42</v>
      </c>
      <c r="H1360" s="10">
        <v>2500</v>
      </c>
      <c r="I1360" s="6">
        <v>3</v>
      </c>
      <c r="J1360" s="6">
        <f>H1360*I1360</f>
        <v>7500</v>
      </c>
    </row>
    <row r="1361" spans="2:10" ht="20.100000000000001" customHeight="1" x14ac:dyDescent="0.25">
      <c r="B1361" s="5">
        <v>45168</v>
      </c>
      <c r="C1361" s="8" t="str">
        <f>"Ord-08-23-"&amp;TEXT(ROW(C154),"000")</f>
        <v>Ord-08-23-154</v>
      </c>
      <c r="D1361" s="6" t="s">
        <v>11</v>
      </c>
      <c r="E1361" s="10" t="s">
        <v>27</v>
      </c>
      <c r="F1361" s="10" t="s">
        <v>50</v>
      </c>
      <c r="G1361" s="10" t="s">
        <v>64</v>
      </c>
      <c r="H1361" s="10">
        <v>3000</v>
      </c>
      <c r="I1361" s="6">
        <v>3</v>
      </c>
      <c r="J1361" s="6">
        <f>H1361*I1361</f>
        <v>9000</v>
      </c>
    </row>
    <row r="1362" spans="2:10" ht="20.100000000000001" customHeight="1" x14ac:dyDescent="0.25">
      <c r="B1362" s="5">
        <v>45168</v>
      </c>
      <c r="C1362" s="8" t="str">
        <f>"Ord-08-23-"&amp;TEXT(ROW(C155),"000")</f>
        <v>Ord-08-23-155</v>
      </c>
      <c r="D1362" s="6" t="s">
        <v>19</v>
      </c>
      <c r="E1362" s="10" t="s">
        <v>27</v>
      </c>
      <c r="F1362" s="10" t="s">
        <v>37</v>
      </c>
      <c r="G1362" s="10" t="s">
        <v>53</v>
      </c>
      <c r="H1362" s="10">
        <v>5200</v>
      </c>
      <c r="I1362" s="6">
        <v>2</v>
      </c>
      <c r="J1362" s="6">
        <f>H1362*I1362</f>
        <v>10400</v>
      </c>
    </row>
    <row r="1363" spans="2:10" ht="20.100000000000001" customHeight="1" x14ac:dyDescent="0.25">
      <c r="B1363" s="5">
        <v>45169</v>
      </c>
      <c r="C1363" s="8" t="str">
        <f>"Ord-08-23-"&amp;TEXT(ROW(C156),"000")</f>
        <v>Ord-08-23-156</v>
      </c>
      <c r="D1363" s="6" t="s">
        <v>13</v>
      </c>
      <c r="E1363" s="10" t="s">
        <v>28</v>
      </c>
      <c r="F1363" s="10" t="s">
        <v>28</v>
      </c>
      <c r="G1363" s="10" t="s">
        <v>79</v>
      </c>
      <c r="H1363" s="10">
        <v>600</v>
      </c>
      <c r="I1363" s="6">
        <v>1</v>
      </c>
      <c r="J1363" s="6">
        <f>H1363*I1363</f>
        <v>600</v>
      </c>
    </row>
    <row r="1364" spans="2:10" ht="20.100000000000001" customHeight="1" x14ac:dyDescent="0.25">
      <c r="B1364" s="5">
        <v>45169</v>
      </c>
      <c r="C1364" s="8" t="str">
        <f>"Ord-08-23-"&amp;TEXT(ROW(C157),"000")</f>
        <v>Ord-08-23-157</v>
      </c>
      <c r="D1364" s="6" t="s">
        <v>25</v>
      </c>
      <c r="E1364" s="10" t="s">
        <v>31</v>
      </c>
      <c r="F1364" s="10" t="s">
        <v>43</v>
      </c>
      <c r="G1364" s="10" t="s">
        <v>69</v>
      </c>
      <c r="H1364" s="10">
        <v>4900</v>
      </c>
      <c r="I1364" s="6">
        <v>1</v>
      </c>
      <c r="J1364" s="6">
        <f>H1364*I1364</f>
        <v>4900</v>
      </c>
    </row>
    <row r="1365" spans="2:10" ht="20.100000000000001" customHeight="1" x14ac:dyDescent="0.25">
      <c r="B1365" s="5">
        <v>45169</v>
      </c>
      <c r="C1365" s="8" t="str">
        <f>"Ord-08-23-"&amp;TEXT(ROW(C158),"000")</f>
        <v>Ord-08-23-158</v>
      </c>
      <c r="D1365" s="6" t="s">
        <v>24</v>
      </c>
      <c r="E1365" s="10" t="s">
        <v>31</v>
      </c>
      <c r="F1365" s="10" t="s">
        <v>43</v>
      </c>
      <c r="G1365" s="10" t="s">
        <v>82</v>
      </c>
      <c r="H1365" s="10">
        <v>16000</v>
      </c>
      <c r="I1365" s="6">
        <v>2</v>
      </c>
      <c r="J1365" s="6">
        <f>H1365*I1365</f>
        <v>32000</v>
      </c>
    </row>
    <row r="1366" spans="2:10" ht="20.100000000000001" customHeight="1" x14ac:dyDescent="0.25">
      <c r="B1366" s="5">
        <v>45169</v>
      </c>
      <c r="C1366" s="8" t="str">
        <f>"Ord-08-23-"&amp;TEXT(ROW(C159),"000")</f>
        <v>Ord-08-23-159</v>
      </c>
      <c r="D1366" s="6" t="s">
        <v>22</v>
      </c>
      <c r="E1366" s="10" t="s">
        <v>31</v>
      </c>
      <c r="F1366" s="10" t="s">
        <v>48</v>
      </c>
      <c r="G1366" s="10" t="s">
        <v>67</v>
      </c>
      <c r="H1366" s="10">
        <v>8000</v>
      </c>
      <c r="I1366" s="6">
        <v>1</v>
      </c>
      <c r="J1366" s="6">
        <f>H1366*I1366</f>
        <v>8000</v>
      </c>
    </row>
    <row r="1367" spans="2:10" ht="20.100000000000001" customHeight="1" x14ac:dyDescent="0.25">
      <c r="B1367" s="5">
        <v>45169</v>
      </c>
      <c r="C1367" s="8" t="str">
        <f>"Ord-08-23-"&amp;TEXT(ROW(C160),"000")</f>
        <v>Ord-08-23-160</v>
      </c>
      <c r="D1367" s="6" t="s">
        <v>13</v>
      </c>
      <c r="E1367" s="10" t="s">
        <v>29</v>
      </c>
      <c r="F1367" s="10" t="s">
        <v>40</v>
      </c>
      <c r="G1367" s="10" t="s">
        <v>57</v>
      </c>
      <c r="H1367" s="10">
        <v>4000</v>
      </c>
      <c r="I1367" s="6">
        <v>4</v>
      </c>
      <c r="J1367" s="6">
        <f>H1367*I1367</f>
        <v>16000</v>
      </c>
    </row>
    <row r="1368" spans="2:10" ht="20.100000000000001" customHeight="1" x14ac:dyDescent="0.25">
      <c r="B1368" s="5">
        <v>45170</v>
      </c>
      <c r="C1368" s="8" t="str">
        <f>"Ord-09-23-"&amp;TEXT(ROW(C1),"000")</f>
        <v>Ord-09-23-001</v>
      </c>
      <c r="D1368" s="6" t="s">
        <v>7</v>
      </c>
      <c r="E1368" s="10" t="s">
        <v>31</v>
      </c>
      <c r="F1368" s="10" t="s">
        <v>43</v>
      </c>
      <c r="G1368" s="10" t="s">
        <v>61</v>
      </c>
      <c r="H1368" s="10">
        <v>18000</v>
      </c>
      <c r="I1368" s="6">
        <v>1</v>
      </c>
      <c r="J1368" s="6">
        <f>H1368*I1368</f>
        <v>18000</v>
      </c>
    </row>
    <row r="1369" spans="2:10" ht="20.100000000000001" customHeight="1" x14ac:dyDescent="0.25">
      <c r="B1369" s="5">
        <v>45170</v>
      </c>
      <c r="C1369" s="8" t="str">
        <f>"Ord-09-23-"&amp;TEXT(ROW(C2),"000")</f>
        <v>Ord-09-23-002</v>
      </c>
      <c r="D1369" s="6" t="s">
        <v>20</v>
      </c>
      <c r="E1369" s="10" t="s">
        <v>36</v>
      </c>
      <c r="F1369" s="10" t="s">
        <v>36</v>
      </c>
      <c r="G1369" s="10" t="s">
        <v>41</v>
      </c>
      <c r="H1369" s="10">
        <v>2000</v>
      </c>
      <c r="I1369" s="6">
        <v>5</v>
      </c>
      <c r="J1369" s="6">
        <f>H1369*I1369</f>
        <v>10000</v>
      </c>
    </row>
    <row r="1370" spans="2:10" ht="20.100000000000001" customHeight="1" x14ac:dyDescent="0.25">
      <c r="B1370" s="5">
        <v>45170</v>
      </c>
      <c r="C1370" s="8" t="str">
        <f>"Ord-09-23-"&amp;TEXT(ROW(C3),"000")</f>
        <v>Ord-09-23-003</v>
      </c>
      <c r="D1370" s="6" t="s">
        <v>12</v>
      </c>
      <c r="E1370" s="10" t="s">
        <v>29</v>
      </c>
      <c r="F1370" s="10" t="s">
        <v>39</v>
      </c>
      <c r="G1370" s="10" t="s">
        <v>56</v>
      </c>
      <c r="H1370" s="10">
        <v>2500</v>
      </c>
      <c r="I1370" s="6">
        <v>5</v>
      </c>
      <c r="J1370" s="6">
        <f>H1370*I1370</f>
        <v>12500</v>
      </c>
    </row>
    <row r="1371" spans="2:10" ht="20.100000000000001" customHeight="1" x14ac:dyDescent="0.25">
      <c r="B1371" s="5">
        <v>45170</v>
      </c>
      <c r="C1371" s="8" t="str">
        <f>"Ord-09-23-"&amp;TEXT(ROW(C4),"000")</f>
        <v>Ord-09-23-004</v>
      </c>
      <c r="D1371" s="6" t="s">
        <v>22</v>
      </c>
      <c r="E1371" s="10" t="s">
        <v>27</v>
      </c>
      <c r="F1371" s="10" t="s">
        <v>42</v>
      </c>
      <c r="G1371" s="10" t="s">
        <v>42</v>
      </c>
      <c r="H1371" s="10">
        <v>2500</v>
      </c>
      <c r="I1371" s="6">
        <v>1</v>
      </c>
      <c r="J1371" s="6">
        <f>H1371*I1371</f>
        <v>2500</v>
      </c>
    </row>
    <row r="1372" spans="2:10" ht="20.100000000000001" customHeight="1" x14ac:dyDescent="0.25">
      <c r="B1372" s="5">
        <v>45170</v>
      </c>
      <c r="C1372" s="8" t="str">
        <f>"Ord-09-23-"&amp;TEXT(ROW(C5),"000")</f>
        <v>Ord-09-23-005</v>
      </c>
      <c r="D1372" s="6" t="s">
        <v>20</v>
      </c>
      <c r="E1372" s="10" t="s">
        <v>27</v>
      </c>
      <c r="F1372" s="10" t="s">
        <v>37</v>
      </c>
      <c r="G1372" s="10" t="s">
        <v>54</v>
      </c>
      <c r="H1372" s="10">
        <v>5000</v>
      </c>
      <c r="I1372" s="6">
        <v>2</v>
      </c>
      <c r="J1372" s="6">
        <f>H1372*I1372</f>
        <v>10000</v>
      </c>
    </row>
    <row r="1373" spans="2:10" ht="20.100000000000001" customHeight="1" x14ac:dyDescent="0.25">
      <c r="B1373" s="5">
        <v>45171</v>
      </c>
      <c r="C1373" s="8" t="str">
        <f>"Ord-09-23-"&amp;TEXT(ROW(C6),"000")</f>
        <v>Ord-09-23-006</v>
      </c>
      <c r="D1373" s="6" t="s">
        <v>15</v>
      </c>
      <c r="E1373" s="10" t="s">
        <v>32</v>
      </c>
      <c r="F1373" s="10" t="s">
        <v>51</v>
      </c>
      <c r="G1373" s="10" t="s">
        <v>80</v>
      </c>
      <c r="H1373" s="10">
        <v>5500</v>
      </c>
      <c r="I1373" s="6">
        <v>4</v>
      </c>
      <c r="J1373" s="6">
        <f>H1373*I1373</f>
        <v>22000</v>
      </c>
    </row>
    <row r="1374" spans="2:10" ht="20.100000000000001" customHeight="1" x14ac:dyDescent="0.25">
      <c r="B1374" s="5">
        <v>45171</v>
      </c>
      <c r="C1374" s="8" t="str">
        <f>"Ord-09-23-"&amp;TEXT(ROW(C7),"000")</f>
        <v>Ord-09-23-007</v>
      </c>
      <c r="D1374" s="6" t="s">
        <v>19</v>
      </c>
      <c r="E1374" s="10" t="s">
        <v>31</v>
      </c>
      <c r="F1374" s="10" t="s">
        <v>43</v>
      </c>
      <c r="G1374" s="10" t="s">
        <v>67</v>
      </c>
      <c r="H1374" s="10">
        <v>14500</v>
      </c>
      <c r="I1374" s="6">
        <v>2</v>
      </c>
      <c r="J1374" s="6">
        <f>H1374*I1374</f>
        <v>29000</v>
      </c>
    </row>
    <row r="1375" spans="2:10" ht="20.100000000000001" customHeight="1" x14ac:dyDescent="0.25">
      <c r="B1375" s="5">
        <v>45171</v>
      </c>
      <c r="C1375" s="8" t="str">
        <f>"Ord-09-23-"&amp;TEXT(ROW(C8),"000")</f>
        <v>Ord-09-23-008</v>
      </c>
      <c r="D1375" s="6" t="s">
        <v>13</v>
      </c>
      <c r="E1375" s="10" t="s">
        <v>31</v>
      </c>
      <c r="F1375" s="10" t="s">
        <v>43</v>
      </c>
      <c r="G1375" s="10" t="s">
        <v>82</v>
      </c>
      <c r="H1375" s="10">
        <v>16000</v>
      </c>
      <c r="I1375" s="6">
        <v>3</v>
      </c>
      <c r="J1375" s="6">
        <f>H1375*I1375</f>
        <v>48000</v>
      </c>
    </row>
    <row r="1376" spans="2:10" ht="20.100000000000001" customHeight="1" x14ac:dyDescent="0.25">
      <c r="B1376" s="5">
        <v>45171</v>
      </c>
      <c r="C1376" s="8" t="str">
        <f>"Ord-09-23-"&amp;TEXT(ROW(C9),"000")</f>
        <v>Ord-09-23-009</v>
      </c>
      <c r="D1376" s="6" t="s">
        <v>18</v>
      </c>
      <c r="E1376" s="10" t="s">
        <v>31</v>
      </c>
      <c r="F1376" s="10" t="s">
        <v>45</v>
      </c>
      <c r="G1376" s="10" t="s">
        <v>63</v>
      </c>
      <c r="H1376" s="10">
        <v>1800</v>
      </c>
      <c r="I1376" s="6">
        <v>1</v>
      </c>
      <c r="J1376" s="6">
        <f>H1376*I1376</f>
        <v>1800</v>
      </c>
    </row>
    <row r="1377" spans="2:10" ht="20.100000000000001" customHeight="1" x14ac:dyDescent="0.25">
      <c r="B1377" s="5">
        <v>45171</v>
      </c>
      <c r="C1377" s="8" t="str">
        <f>"Ord-09-23-"&amp;TEXT(ROW(C10),"000")</f>
        <v>Ord-09-23-010</v>
      </c>
      <c r="D1377" s="6" t="s">
        <v>10</v>
      </c>
      <c r="E1377" s="10" t="s">
        <v>27</v>
      </c>
      <c r="F1377" s="10" t="s">
        <v>41</v>
      </c>
      <c r="G1377" s="10" t="s">
        <v>54</v>
      </c>
      <c r="H1377" s="10">
        <v>2800</v>
      </c>
      <c r="I1377" s="6">
        <v>1</v>
      </c>
      <c r="J1377" s="6">
        <f>H1377*I1377</f>
        <v>2800</v>
      </c>
    </row>
    <row r="1378" spans="2:10" ht="20.100000000000001" customHeight="1" x14ac:dyDescent="0.25">
      <c r="B1378" s="5">
        <v>45172</v>
      </c>
      <c r="C1378" s="8" t="str">
        <f>"Ord-09-23-"&amp;TEXT(ROW(C11),"000")</f>
        <v>Ord-09-23-011</v>
      </c>
      <c r="D1378" s="6" t="s">
        <v>13</v>
      </c>
      <c r="E1378" s="10" t="s">
        <v>35</v>
      </c>
      <c r="F1378" s="12" t="s">
        <v>90</v>
      </c>
      <c r="G1378" s="10" t="s">
        <v>79</v>
      </c>
      <c r="H1378" s="10">
        <v>4800</v>
      </c>
      <c r="I1378" s="6">
        <v>3</v>
      </c>
      <c r="J1378" s="6">
        <f>H1378*I1378</f>
        <v>14400</v>
      </c>
    </row>
    <row r="1379" spans="2:10" ht="20.100000000000001" customHeight="1" x14ac:dyDescent="0.25">
      <c r="B1379" s="5">
        <v>45172</v>
      </c>
      <c r="C1379" s="8" t="str">
        <f>"Ord-09-23-"&amp;TEXT(ROW(C12),"000")</f>
        <v>Ord-09-23-012</v>
      </c>
      <c r="D1379" s="6" t="s">
        <v>9</v>
      </c>
      <c r="E1379" s="10" t="s">
        <v>29</v>
      </c>
      <c r="F1379" s="10" t="s">
        <v>40</v>
      </c>
      <c r="G1379" s="10" t="s">
        <v>57</v>
      </c>
      <c r="H1379" s="10">
        <v>4000</v>
      </c>
      <c r="I1379" s="6">
        <v>3</v>
      </c>
      <c r="J1379" s="6">
        <f>H1379*I1379</f>
        <v>12000</v>
      </c>
    </row>
    <row r="1380" spans="2:10" ht="20.100000000000001" customHeight="1" x14ac:dyDescent="0.25">
      <c r="B1380" s="5">
        <v>45172</v>
      </c>
      <c r="C1380" s="8" t="str">
        <f>"Ord-09-23-"&amp;TEXT(ROW(C13),"000")</f>
        <v>Ord-09-23-013</v>
      </c>
      <c r="D1380" s="6" t="s">
        <v>23</v>
      </c>
      <c r="E1380" s="10" t="s">
        <v>27</v>
      </c>
      <c r="F1380" s="10" t="s">
        <v>38</v>
      </c>
      <c r="G1380" s="10" t="s">
        <v>53</v>
      </c>
      <c r="H1380" s="10">
        <v>5500</v>
      </c>
      <c r="I1380" s="6">
        <v>1</v>
      </c>
      <c r="J1380" s="6">
        <f>H1380*I1380</f>
        <v>5500</v>
      </c>
    </row>
    <row r="1381" spans="2:10" ht="20.100000000000001" customHeight="1" x14ac:dyDescent="0.25">
      <c r="B1381" s="5">
        <v>45172</v>
      </c>
      <c r="C1381" s="8" t="str">
        <f>"Ord-09-23-"&amp;TEXT(ROW(C14),"000")</f>
        <v>Ord-09-23-014</v>
      </c>
      <c r="D1381" s="6" t="s">
        <v>17</v>
      </c>
      <c r="E1381" s="10" t="s">
        <v>27</v>
      </c>
      <c r="F1381" s="10" t="s">
        <v>37</v>
      </c>
      <c r="G1381" s="10" t="s">
        <v>64</v>
      </c>
      <c r="H1381" s="10">
        <v>4500</v>
      </c>
      <c r="I1381" s="6">
        <v>5</v>
      </c>
      <c r="J1381" s="6">
        <f>H1381*I1381</f>
        <v>22500</v>
      </c>
    </row>
    <row r="1382" spans="2:10" ht="20.100000000000001" customHeight="1" x14ac:dyDescent="0.25">
      <c r="B1382" s="5">
        <v>45172</v>
      </c>
      <c r="C1382" s="8" t="str">
        <f>"Ord-09-23-"&amp;TEXT(ROW(C15),"000")</f>
        <v>Ord-09-23-015</v>
      </c>
      <c r="D1382" s="6" t="s">
        <v>16</v>
      </c>
      <c r="E1382" s="10" t="s">
        <v>34</v>
      </c>
      <c r="F1382" s="10" t="s">
        <v>49</v>
      </c>
      <c r="G1382" s="10" t="s">
        <v>75</v>
      </c>
      <c r="H1382" s="10">
        <v>4300</v>
      </c>
      <c r="I1382" s="6">
        <v>4</v>
      </c>
      <c r="J1382" s="6">
        <f>H1382*I1382</f>
        <v>17200</v>
      </c>
    </row>
    <row r="1383" spans="2:10" ht="20.100000000000001" customHeight="1" x14ac:dyDescent="0.25">
      <c r="B1383" s="5">
        <v>45173</v>
      </c>
      <c r="C1383" s="8" t="str">
        <f>"Ord-09-23-"&amp;TEXT(ROW(C16),"000")</f>
        <v>Ord-09-23-016</v>
      </c>
      <c r="D1383" s="6" t="s">
        <v>13</v>
      </c>
      <c r="E1383" s="10" t="s">
        <v>33</v>
      </c>
      <c r="F1383" s="10" t="s">
        <v>47</v>
      </c>
      <c r="G1383" s="10" t="s">
        <v>65</v>
      </c>
      <c r="H1383" s="10">
        <v>25</v>
      </c>
      <c r="I1383" s="6">
        <v>650</v>
      </c>
      <c r="J1383" s="6">
        <f>H1383*I1383</f>
        <v>16250</v>
      </c>
    </row>
    <row r="1384" spans="2:10" ht="20.100000000000001" customHeight="1" x14ac:dyDescent="0.25">
      <c r="B1384" s="5">
        <v>45173</v>
      </c>
      <c r="C1384" s="8" t="str">
        <f>"Ord-09-23-"&amp;TEXT(ROW(C17),"000")</f>
        <v>Ord-09-23-017</v>
      </c>
      <c r="D1384" s="6" t="s">
        <v>26</v>
      </c>
      <c r="E1384" s="10" t="s">
        <v>33</v>
      </c>
      <c r="F1384" s="10" t="s">
        <v>47</v>
      </c>
      <c r="G1384" s="10" t="s">
        <v>65</v>
      </c>
      <c r="H1384" s="10">
        <v>25</v>
      </c>
      <c r="I1384" s="6">
        <v>500</v>
      </c>
      <c r="J1384" s="6">
        <f>H1384*I1384</f>
        <v>12500</v>
      </c>
    </row>
    <row r="1385" spans="2:10" ht="20.100000000000001" customHeight="1" x14ac:dyDescent="0.25">
      <c r="B1385" s="5">
        <v>45173</v>
      </c>
      <c r="C1385" s="8" t="str">
        <f>"Ord-09-23-"&amp;TEXT(ROW(C18),"000")</f>
        <v>Ord-09-23-018</v>
      </c>
      <c r="D1385" s="6" t="s">
        <v>16</v>
      </c>
      <c r="E1385" s="10" t="s">
        <v>33</v>
      </c>
      <c r="F1385" s="10" t="s">
        <v>46</v>
      </c>
      <c r="G1385" s="10" t="s">
        <v>65</v>
      </c>
      <c r="H1385" s="10">
        <v>15</v>
      </c>
      <c r="I1385" s="6">
        <v>350</v>
      </c>
      <c r="J1385" s="6">
        <f>H1385*I1385</f>
        <v>5250</v>
      </c>
    </row>
    <row r="1386" spans="2:10" ht="20.100000000000001" customHeight="1" x14ac:dyDescent="0.25">
      <c r="B1386" s="5">
        <v>45173</v>
      </c>
      <c r="C1386" s="8" t="str">
        <f>"Ord-09-23-"&amp;TEXT(ROW(C19),"000")</f>
        <v>Ord-09-23-019</v>
      </c>
      <c r="D1386" s="6" t="s">
        <v>11</v>
      </c>
      <c r="E1386" s="10" t="s">
        <v>31</v>
      </c>
      <c r="F1386" s="10" t="s">
        <v>43</v>
      </c>
      <c r="G1386" s="10" t="s">
        <v>66</v>
      </c>
      <c r="H1386" s="10">
        <v>4500</v>
      </c>
      <c r="I1386" s="6">
        <v>1</v>
      </c>
      <c r="J1386" s="6">
        <f>H1386*I1386</f>
        <v>4500</v>
      </c>
    </row>
    <row r="1387" spans="2:10" ht="20.100000000000001" customHeight="1" x14ac:dyDescent="0.25">
      <c r="B1387" s="5">
        <v>45173</v>
      </c>
      <c r="C1387" s="8" t="str">
        <f>"Ord-09-23-"&amp;TEXT(ROW(C20),"000")</f>
        <v>Ord-09-23-020</v>
      </c>
      <c r="D1387" s="6" t="s">
        <v>12</v>
      </c>
      <c r="E1387" s="10" t="s">
        <v>36</v>
      </c>
      <c r="F1387" s="10" t="s">
        <v>36</v>
      </c>
      <c r="G1387" s="10" t="s">
        <v>85</v>
      </c>
      <c r="H1387" s="10">
        <v>2200</v>
      </c>
      <c r="I1387" s="7">
        <v>2</v>
      </c>
      <c r="J1387" s="6">
        <f>H1387*I1387</f>
        <v>4400</v>
      </c>
    </row>
    <row r="1388" spans="2:10" ht="20.100000000000001" customHeight="1" x14ac:dyDescent="0.25">
      <c r="B1388" s="5">
        <v>45174</v>
      </c>
      <c r="C1388" s="8" t="str">
        <f>"Ord-09-23-"&amp;TEXT(ROW(C21),"000")</f>
        <v>Ord-09-23-021</v>
      </c>
      <c r="D1388" s="6" t="s">
        <v>18</v>
      </c>
      <c r="E1388" s="10" t="s">
        <v>33</v>
      </c>
      <c r="F1388" s="10" t="s">
        <v>46</v>
      </c>
      <c r="G1388" s="10" t="s">
        <v>65</v>
      </c>
      <c r="H1388" s="10">
        <v>15</v>
      </c>
      <c r="I1388" s="6">
        <v>120</v>
      </c>
      <c r="J1388" s="6">
        <f>H1388*I1388</f>
        <v>1800</v>
      </c>
    </row>
    <row r="1389" spans="2:10" ht="20.100000000000001" customHeight="1" x14ac:dyDescent="0.25">
      <c r="B1389" s="5">
        <v>45174</v>
      </c>
      <c r="C1389" s="8" t="str">
        <f>"Ord-09-23-"&amp;TEXT(ROW(C22),"000")</f>
        <v>Ord-09-23-022</v>
      </c>
      <c r="D1389" s="6" t="s">
        <v>22</v>
      </c>
      <c r="E1389" s="10" t="s">
        <v>33</v>
      </c>
      <c r="F1389" s="10" t="s">
        <v>46</v>
      </c>
      <c r="G1389" s="10" t="s">
        <v>65</v>
      </c>
      <c r="H1389" s="10">
        <v>15</v>
      </c>
      <c r="I1389" s="6">
        <v>320</v>
      </c>
      <c r="J1389" s="6">
        <f>H1389*I1389</f>
        <v>4800</v>
      </c>
    </row>
    <row r="1390" spans="2:10" ht="20.100000000000001" customHeight="1" x14ac:dyDescent="0.25">
      <c r="B1390" s="5">
        <v>45174</v>
      </c>
      <c r="C1390" s="8" t="str">
        <f>"Ord-09-23-"&amp;TEXT(ROW(C23),"000")</f>
        <v>Ord-09-23-023</v>
      </c>
      <c r="D1390" s="6" t="s">
        <v>10</v>
      </c>
      <c r="E1390" s="10" t="s">
        <v>31</v>
      </c>
      <c r="F1390" s="10" t="s">
        <v>45</v>
      </c>
      <c r="G1390" s="10" t="s">
        <v>63</v>
      </c>
      <c r="H1390" s="10">
        <v>1800</v>
      </c>
      <c r="I1390" s="6">
        <v>1</v>
      </c>
      <c r="J1390" s="6">
        <f>H1390*I1390</f>
        <v>1800</v>
      </c>
    </row>
    <row r="1391" spans="2:10" ht="20.100000000000001" customHeight="1" x14ac:dyDescent="0.25">
      <c r="B1391" s="5">
        <v>45174</v>
      </c>
      <c r="C1391" s="8" t="str">
        <f>"Ord-09-23-"&amp;TEXT(ROW(C24),"000")</f>
        <v>Ord-09-23-024</v>
      </c>
      <c r="D1391" s="6" t="s">
        <v>7</v>
      </c>
      <c r="E1391" s="10" t="s">
        <v>29</v>
      </c>
      <c r="F1391" s="10" t="s">
        <v>40</v>
      </c>
      <c r="G1391" s="10" t="s">
        <v>84</v>
      </c>
      <c r="H1391" s="10">
        <v>7500</v>
      </c>
      <c r="I1391" s="6">
        <v>3</v>
      </c>
      <c r="J1391" s="6">
        <f>H1391*I1391</f>
        <v>22500</v>
      </c>
    </row>
    <row r="1392" spans="2:10" ht="20.100000000000001" customHeight="1" x14ac:dyDescent="0.25">
      <c r="B1392" s="5">
        <v>45174</v>
      </c>
      <c r="C1392" s="8" t="str">
        <f>"Ord-09-23-"&amp;TEXT(ROW(C25),"000")</f>
        <v>Ord-09-23-025</v>
      </c>
      <c r="D1392" s="6" t="s">
        <v>16</v>
      </c>
      <c r="E1392" s="10" t="s">
        <v>27</v>
      </c>
      <c r="F1392" s="10" t="s">
        <v>42</v>
      </c>
      <c r="G1392" s="10" t="s">
        <v>42</v>
      </c>
      <c r="H1392" s="10">
        <v>2500</v>
      </c>
      <c r="I1392" s="6">
        <v>4</v>
      </c>
      <c r="J1392" s="6">
        <f>H1392*I1392</f>
        <v>10000</v>
      </c>
    </row>
    <row r="1393" spans="2:10" ht="20.100000000000001" customHeight="1" x14ac:dyDescent="0.25">
      <c r="B1393" s="5">
        <v>45175</v>
      </c>
      <c r="C1393" s="8" t="str">
        <f>"Ord-09-23-"&amp;TEXT(ROW(C26),"000")</f>
        <v>Ord-09-23-026</v>
      </c>
      <c r="D1393" s="6" t="s">
        <v>19</v>
      </c>
      <c r="E1393" s="10" t="s">
        <v>31</v>
      </c>
      <c r="F1393" s="10" t="s">
        <v>52</v>
      </c>
      <c r="G1393" s="10" t="s">
        <v>82</v>
      </c>
      <c r="H1393" s="10">
        <v>5000</v>
      </c>
      <c r="I1393" s="6">
        <v>2</v>
      </c>
      <c r="J1393" s="6">
        <f>H1393*I1393</f>
        <v>10000</v>
      </c>
    </row>
    <row r="1394" spans="2:10" ht="20.100000000000001" customHeight="1" x14ac:dyDescent="0.25">
      <c r="B1394" s="5">
        <v>45175</v>
      </c>
      <c r="C1394" s="8" t="str">
        <f>"Ord-09-23-"&amp;TEXT(ROW(C27),"000")</f>
        <v>Ord-09-23-027</v>
      </c>
      <c r="D1394" s="6" t="s">
        <v>26</v>
      </c>
      <c r="E1394" s="10" t="s">
        <v>27</v>
      </c>
      <c r="F1394" s="10" t="s">
        <v>38</v>
      </c>
      <c r="G1394" s="10" t="s">
        <v>53</v>
      </c>
      <c r="H1394" s="10">
        <v>5500</v>
      </c>
      <c r="I1394" s="6">
        <v>1</v>
      </c>
      <c r="J1394" s="6">
        <f>H1394*I1394</f>
        <v>5500</v>
      </c>
    </row>
    <row r="1395" spans="2:10" ht="20.100000000000001" customHeight="1" x14ac:dyDescent="0.25">
      <c r="B1395" s="5">
        <v>45175</v>
      </c>
      <c r="C1395" s="8" t="str">
        <f>"Ord-09-23-"&amp;TEXT(ROW(C28),"000")</f>
        <v>Ord-09-23-028</v>
      </c>
      <c r="D1395" s="6" t="s">
        <v>25</v>
      </c>
      <c r="E1395" s="10" t="s">
        <v>27</v>
      </c>
      <c r="F1395" s="10" t="s">
        <v>37</v>
      </c>
      <c r="G1395" s="10" t="s">
        <v>54</v>
      </c>
      <c r="H1395" s="10">
        <v>5000</v>
      </c>
      <c r="I1395" s="6">
        <v>1</v>
      </c>
      <c r="J1395" s="6">
        <f>H1395*I1395</f>
        <v>5000</v>
      </c>
    </row>
    <row r="1396" spans="2:10" ht="20.100000000000001" customHeight="1" x14ac:dyDescent="0.25">
      <c r="B1396" s="5">
        <v>45175</v>
      </c>
      <c r="C1396" s="8" t="str">
        <f>"Ord-09-23-"&amp;TEXT(ROW(C29),"000")</f>
        <v>Ord-09-23-029</v>
      </c>
      <c r="D1396" s="6" t="s">
        <v>11</v>
      </c>
      <c r="E1396" s="10" t="s">
        <v>27</v>
      </c>
      <c r="F1396" s="10" t="s">
        <v>41</v>
      </c>
      <c r="G1396" s="10" t="s">
        <v>54</v>
      </c>
      <c r="H1396" s="10">
        <v>2800</v>
      </c>
      <c r="I1396" s="6">
        <v>2</v>
      </c>
      <c r="J1396" s="6">
        <f>H1396*I1396</f>
        <v>5600</v>
      </c>
    </row>
    <row r="1397" spans="2:10" ht="20.100000000000001" customHeight="1" x14ac:dyDescent="0.25">
      <c r="B1397" s="5">
        <v>45175</v>
      </c>
      <c r="C1397" s="8" t="str">
        <f>"Ord-09-23-"&amp;TEXT(ROW(C30),"000")</f>
        <v>Ord-09-23-030</v>
      </c>
      <c r="D1397" s="6" t="s">
        <v>8</v>
      </c>
      <c r="E1397" s="10" t="s">
        <v>34</v>
      </c>
      <c r="F1397" s="10" t="s">
        <v>49</v>
      </c>
      <c r="G1397" s="10" t="s">
        <v>68</v>
      </c>
      <c r="H1397" s="10">
        <v>4000</v>
      </c>
      <c r="I1397" s="6">
        <v>2</v>
      </c>
      <c r="J1397" s="6">
        <f>H1397*I1397</f>
        <v>8000</v>
      </c>
    </row>
    <row r="1398" spans="2:10" ht="20.100000000000001" customHeight="1" x14ac:dyDescent="0.25">
      <c r="B1398" s="5">
        <v>45176</v>
      </c>
      <c r="C1398" s="8" t="str">
        <f>"Ord-09-23-"&amp;TEXT(ROW(C31),"000")</f>
        <v>Ord-09-23-031</v>
      </c>
      <c r="D1398" s="6" t="s">
        <v>12</v>
      </c>
      <c r="E1398" s="10" t="s">
        <v>28</v>
      </c>
      <c r="F1398" s="10" t="s">
        <v>28</v>
      </c>
      <c r="G1398" s="10" t="s">
        <v>71</v>
      </c>
      <c r="H1398" s="10">
        <v>850</v>
      </c>
      <c r="I1398" s="6">
        <v>3</v>
      </c>
      <c r="J1398" s="6">
        <f>H1398*I1398</f>
        <v>2550</v>
      </c>
    </row>
    <row r="1399" spans="2:10" ht="20.100000000000001" customHeight="1" x14ac:dyDescent="0.25">
      <c r="B1399" s="4">
        <v>45176</v>
      </c>
      <c r="C1399" s="8" t="str">
        <f>"Ord-09-23-"&amp;TEXT(ROW(C32),"000")</f>
        <v>Ord-09-23-032</v>
      </c>
      <c r="D1399" s="6" t="s">
        <v>26</v>
      </c>
      <c r="E1399" s="10" t="s">
        <v>31</v>
      </c>
      <c r="F1399" s="10" t="s">
        <v>43</v>
      </c>
      <c r="G1399" s="10" t="s">
        <v>61</v>
      </c>
      <c r="H1399" s="13">
        <v>18000</v>
      </c>
      <c r="I1399" s="7">
        <v>3</v>
      </c>
      <c r="J1399" s="6">
        <f>H1399*I1399</f>
        <v>54000</v>
      </c>
    </row>
    <row r="1400" spans="2:10" ht="20.100000000000001" customHeight="1" x14ac:dyDescent="0.25">
      <c r="B1400" s="5">
        <v>45176</v>
      </c>
      <c r="C1400" s="8" t="str">
        <f>"Ord-09-23-"&amp;TEXT(ROW(C33),"000")</f>
        <v>Ord-09-23-033</v>
      </c>
      <c r="D1400" s="6" t="s">
        <v>22</v>
      </c>
      <c r="E1400" s="10" t="s">
        <v>31</v>
      </c>
      <c r="F1400" s="10" t="s">
        <v>45</v>
      </c>
      <c r="G1400" s="10" t="s">
        <v>59</v>
      </c>
      <c r="H1400" s="10">
        <v>4000</v>
      </c>
      <c r="I1400" s="6">
        <v>2</v>
      </c>
      <c r="J1400" s="6">
        <f>H1400*I1400</f>
        <v>8000</v>
      </c>
    </row>
    <row r="1401" spans="2:10" ht="20.100000000000001" customHeight="1" x14ac:dyDescent="0.25">
      <c r="B1401" s="4">
        <v>45176</v>
      </c>
      <c r="C1401" s="8" t="str">
        <f>"Ord-09-23-"&amp;TEXT(ROW(C34),"000")</f>
        <v>Ord-09-23-034</v>
      </c>
      <c r="D1401" s="6" t="s">
        <v>21</v>
      </c>
      <c r="E1401" s="10" t="s">
        <v>31</v>
      </c>
      <c r="F1401" s="10" t="s">
        <v>52</v>
      </c>
      <c r="G1401" s="10" t="s">
        <v>73</v>
      </c>
      <c r="H1401" s="13">
        <v>2500</v>
      </c>
      <c r="I1401" s="7">
        <v>4</v>
      </c>
      <c r="J1401" s="6">
        <f>H1401*I1401</f>
        <v>10000</v>
      </c>
    </row>
    <row r="1402" spans="2:10" ht="20.100000000000001" customHeight="1" x14ac:dyDescent="0.25">
      <c r="B1402" s="4">
        <v>45176</v>
      </c>
      <c r="C1402" s="8" t="str">
        <f>"Ord-09-23-"&amp;TEXT(ROW(C35),"000")</f>
        <v>Ord-09-23-035</v>
      </c>
      <c r="D1402" s="6" t="s">
        <v>15</v>
      </c>
      <c r="E1402" s="10" t="s">
        <v>30</v>
      </c>
      <c r="F1402" s="10" t="s">
        <v>90</v>
      </c>
      <c r="G1402" s="10" t="s">
        <v>59</v>
      </c>
      <c r="H1402" s="13">
        <v>4800</v>
      </c>
      <c r="I1402" s="7">
        <v>2</v>
      </c>
      <c r="J1402" s="6">
        <f>H1402*I1402</f>
        <v>9600</v>
      </c>
    </row>
    <row r="1403" spans="2:10" ht="20.100000000000001" customHeight="1" x14ac:dyDescent="0.25">
      <c r="B1403" s="5">
        <v>45176</v>
      </c>
      <c r="C1403" s="8" t="str">
        <f>"Ord-09-23-"&amp;TEXT(ROW(C36),"000")</f>
        <v>Ord-09-23-036</v>
      </c>
      <c r="D1403" s="6" t="s">
        <v>24</v>
      </c>
      <c r="E1403" s="10" t="s">
        <v>30</v>
      </c>
      <c r="F1403" s="10" t="s">
        <v>90</v>
      </c>
      <c r="G1403" s="10" t="s">
        <v>86</v>
      </c>
      <c r="H1403" s="10">
        <v>7500</v>
      </c>
      <c r="I1403" s="6">
        <v>4</v>
      </c>
      <c r="J1403" s="6">
        <f>H1403*I1403</f>
        <v>30000</v>
      </c>
    </row>
    <row r="1404" spans="2:10" ht="20.100000000000001" customHeight="1" x14ac:dyDescent="0.25">
      <c r="B1404" s="4">
        <v>45176</v>
      </c>
      <c r="C1404" s="8" t="str">
        <f>"Ord-09-23-"&amp;TEXT(ROW(C37),"000")</f>
        <v>Ord-09-23-037</v>
      </c>
      <c r="D1404" s="6" t="s">
        <v>7</v>
      </c>
      <c r="E1404" s="10" t="s">
        <v>27</v>
      </c>
      <c r="F1404" s="10" t="s">
        <v>50</v>
      </c>
      <c r="G1404" s="10" t="s">
        <v>53</v>
      </c>
      <c r="H1404" s="13">
        <v>3500</v>
      </c>
      <c r="I1404" s="7">
        <v>3</v>
      </c>
      <c r="J1404" s="6">
        <f>H1404*I1404</f>
        <v>10500</v>
      </c>
    </row>
    <row r="1405" spans="2:10" ht="20.100000000000001" customHeight="1" x14ac:dyDescent="0.25">
      <c r="B1405" s="5">
        <v>45176</v>
      </c>
      <c r="C1405" s="8" t="str">
        <f>"Ord-09-23-"&amp;TEXT(ROW(C38),"000")</f>
        <v>Ord-09-23-038</v>
      </c>
      <c r="D1405" s="6" t="s">
        <v>11</v>
      </c>
      <c r="E1405" s="10" t="s">
        <v>27</v>
      </c>
      <c r="F1405" s="10" t="s">
        <v>50</v>
      </c>
      <c r="G1405" s="10" t="s">
        <v>54</v>
      </c>
      <c r="H1405" s="10">
        <v>3200</v>
      </c>
      <c r="I1405" s="6">
        <v>2</v>
      </c>
      <c r="J1405" s="6">
        <f>H1405*I1405</f>
        <v>6400</v>
      </c>
    </row>
    <row r="1406" spans="2:10" ht="20.100000000000001" customHeight="1" x14ac:dyDescent="0.25">
      <c r="B1406" s="4">
        <v>45176</v>
      </c>
      <c r="C1406" s="8" t="str">
        <f>"Ord-09-23-"&amp;TEXT(ROW(C39),"000")</f>
        <v>Ord-09-23-039</v>
      </c>
      <c r="D1406" s="6" t="s">
        <v>10</v>
      </c>
      <c r="E1406" s="10" t="s">
        <v>27</v>
      </c>
      <c r="F1406" s="10" t="s">
        <v>38</v>
      </c>
      <c r="G1406" s="10" t="s">
        <v>53</v>
      </c>
      <c r="H1406" s="13">
        <v>5500</v>
      </c>
      <c r="I1406" s="7">
        <v>2</v>
      </c>
      <c r="J1406" s="6">
        <f>H1406*I1406</f>
        <v>11000</v>
      </c>
    </row>
    <row r="1407" spans="2:10" ht="20.100000000000001" customHeight="1" x14ac:dyDescent="0.25">
      <c r="B1407" s="5">
        <v>45176</v>
      </c>
      <c r="C1407" s="8" t="str">
        <f>"Ord-09-23-"&amp;TEXT(ROW(C40),"000")</f>
        <v>Ord-09-23-040</v>
      </c>
      <c r="D1407" s="6" t="s">
        <v>12</v>
      </c>
      <c r="E1407" s="10" t="s">
        <v>27</v>
      </c>
      <c r="F1407" s="10" t="s">
        <v>37</v>
      </c>
      <c r="G1407" s="10" t="s">
        <v>53</v>
      </c>
      <c r="H1407" s="10">
        <v>5200</v>
      </c>
      <c r="I1407" s="6">
        <v>1</v>
      </c>
      <c r="J1407" s="6">
        <f>H1407*I1407</f>
        <v>5200</v>
      </c>
    </row>
    <row r="1408" spans="2:10" ht="20.100000000000001" customHeight="1" x14ac:dyDescent="0.25">
      <c r="B1408" s="5">
        <v>45177</v>
      </c>
      <c r="C1408" s="8" t="str">
        <f>"Ord-09-23-"&amp;TEXT(ROW(C41),"000")</f>
        <v>Ord-09-23-041</v>
      </c>
      <c r="D1408" s="6" t="s">
        <v>16</v>
      </c>
      <c r="E1408" s="10" t="s">
        <v>28</v>
      </c>
      <c r="F1408" s="10" t="s">
        <v>28</v>
      </c>
      <c r="G1408" s="10" t="s">
        <v>77</v>
      </c>
      <c r="H1408" s="10">
        <v>1200</v>
      </c>
      <c r="I1408" s="6">
        <v>1</v>
      </c>
      <c r="J1408" s="6">
        <f>H1408*I1408</f>
        <v>1200</v>
      </c>
    </row>
    <row r="1409" spans="2:10" ht="20.100000000000001" customHeight="1" x14ac:dyDescent="0.25">
      <c r="B1409" s="5">
        <v>45177</v>
      </c>
      <c r="C1409" s="8" t="str">
        <f>"Ord-09-23-"&amp;TEXT(ROW(C42),"000")</f>
        <v>Ord-09-23-042</v>
      </c>
      <c r="D1409" s="6" t="s">
        <v>22</v>
      </c>
      <c r="E1409" s="10" t="s">
        <v>31</v>
      </c>
      <c r="F1409" s="10" t="s">
        <v>43</v>
      </c>
      <c r="G1409" s="10" t="s">
        <v>61</v>
      </c>
      <c r="H1409" s="10">
        <v>18000</v>
      </c>
      <c r="I1409" s="6">
        <v>1</v>
      </c>
      <c r="J1409" s="6">
        <f>H1409*I1409</f>
        <v>18000</v>
      </c>
    </row>
    <row r="1410" spans="2:10" ht="20.100000000000001" customHeight="1" x14ac:dyDescent="0.25">
      <c r="B1410" s="5">
        <v>45177</v>
      </c>
      <c r="C1410" s="8" t="str">
        <f>"Ord-09-23-"&amp;TEXT(ROW(C43),"000")</f>
        <v>Ord-09-23-043</v>
      </c>
      <c r="D1410" s="6" t="s">
        <v>16</v>
      </c>
      <c r="E1410" s="10" t="s">
        <v>36</v>
      </c>
      <c r="F1410" s="10" t="s">
        <v>36</v>
      </c>
      <c r="G1410" s="10" t="s">
        <v>41</v>
      </c>
      <c r="H1410" s="10">
        <v>2000</v>
      </c>
      <c r="I1410" s="6">
        <v>4</v>
      </c>
      <c r="J1410" s="6">
        <f>H1410*I1410</f>
        <v>8000</v>
      </c>
    </row>
    <row r="1411" spans="2:10" ht="20.100000000000001" customHeight="1" x14ac:dyDescent="0.25">
      <c r="B1411" s="5">
        <v>45177</v>
      </c>
      <c r="C1411" s="8" t="str">
        <f>"Ord-09-23-"&amp;TEXT(ROW(C44),"000")</f>
        <v>Ord-09-23-044</v>
      </c>
      <c r="D1411" s="6" t="s">
        <v>21</v>
      </c>
      <c r="E1411" s="10" t="s">
        <v>29</v>
      </c>
      <c r="F1411" s="10" t="s">
        <v>39</v>
      </c>
      <c r="G1411" s="10" t="s">
        <v>56</v>
      </c>
      <c r="H1411" s="10">
        <v>2500</v>
      </c>
      <c r="I1411" s="6">
        <v>4</v>
      </c>
      <c r="J1411" s="6">
        <f>H1411*I1411</f>
        <v>10000</v>
      </c>
    </row>
    <row r="1412" spans="2:10" ht="20.100000000000001" customHeight="1" x14ac:dyDescent="0.25">
      <c r="B1412" s="5">
        <v>45177</v>
      </c>
      <c r="C1412" s="8" t="str">
        <f>"Ord-09-23-"&amp;TEXT(ROW(C45),"000")</f>
        <v>Ord-09-23-045</v>
      </c>
      <c r="D1412" s="6" t="s">
        <v>25</v>
      </c>
      <c r="E1412" s="10" t="s">
        <v>27</v>
      </c>
      <c r="F1412" s="10" t="s">
        <v>41</v>
      </c>
      <c r="G1412" s="10" t="s">
        <v>54</v>
      </c>
      <c r="H1412" s="10">
        <v>2800</v>
      </c>
      <c r="I1412" s="6">
        <v>1</v>
      </c>
      <c r="J1412" s="6">
        <f>H1412*I1412</f>
        <v>2800</v>
      </c>
    </row>
    <row r="1413" spans="2:10" ht="20.100000000000001" customHeight="1" x14ac:dyDescent="0.25">
      <c r="B1413" s="5">
        <v>45178</v>
      </c>
      <c r="C1413" s="8" t="str">
        <f>"Ord-09-23-"&amp;TEXT(ROW(C46),"000")</f>
        <v>Ord-09-23-046</v>
      </c>
      <c r="D1413" s="6" t="s">
        <v>19</v>
      </c>
      <c r="E1413" s="10" t="s">
        <v>33</v>
      </c>
      <c r="F1413" s="10" t="s">
        <v>46</v>
      </c>
      <c r="G1413" s="10" t="s">
        <v>65</v>
      </c>
      <c r="H1413" s="10">
        <v>15</v>
      </c>
      <c r="I1413" s="6">
        <v>200</v>
      </c>
      <c r="J1413" s="6">
        <f>H1413*I1413</f>
        <v>3000</v>
      </c>
    </row>
    <row r="1414" spans="2:10" ht="20.100000000000001" customHeight="1" x14ac:dyDescent="0.25">
      <c r="B1414" s="5">
        <v>45178</v>
      </c>
      <c r="C1414" s="8" t="str">
        <f>"Ord-09-23-"&amp;TEXT(ROW(C47),"000")</f>
        <v>Ord-09-23-047</v>
      </c>
      <c r="D1414" s="6" t="s">
        <v>16</v>
      </c>
      <c r="E1414" s="10" t="s">
        <v>31</v>
      </c>
      <c r="F1414" s="10" t="s">
        <v>45</v>
      </c>
      <c r="G1414" s="10" t="s">
        <v>67</v>
      </c>
      <c r="H1414" s="10">
        <v>8500</v>
      </c>
      <c r="I1414" s="6">
        <v>1</v>
      </c>
      <c r="J1414" s="6">
        <f>H1414*I1414</f>
        <v>8500</v>
      </c>
    </row>
    <row r="1415" spans="2:10" ht="20.100000000000001" customHeight="1" x14ac:dyDescent="0.25">
      <c r="B1415" s="5">
        <v>45178</v>
      </c>
      <c r="C1415" s="8" t="str">
        <f>"Ord-09-23-"&amp;TEXT(ROW(C48),"000")</f>
        <v>Ord-09-23-048</v>
      </c>
      <c r="D1415" s="6" t="s">
        <v>23</v>
      </c>
      <c r="E1415" s="10" t="s">
        <v>31</v>
      </c>
      <c r="F1415" s="10" t="s">
        <v>52</v>
      </c>
      <c r="G1415" s="10" t="s">
        <v>82</v>
      </c>
      <c r="H1415" s="10">
        <v>5000</v>
      </c>
      <c r="I1415" s="6">
        <v>1</v>
      </c>
      <c r="J1415" s="6">
        <f>H1415*I1415</f>
        <v>5000</v>
      </c>
    </row>
    <row r="1416" spans="2:10" ht="20.100000000000001" customHeight="1" x14ac:dyDescent="0.25">
      <c r="B1416" s="5">
        <v>45178</v>
      </c>
      <c r="C1416" s="8" t="str">
        <f>"Ord-09-23-"&amp;TEXT(ROW(C49),"000")</f>
        <v>Ord-09-23-049</v>
      </c>
      <c r="D1416" s="6" t="s">
        <v>24</v>
      </c>
      <c r="E1416" s="10" t="s">
        <v>27</v>
      </c>
      <c r="F1416" s="10" t="s">
        <v>50</v>
      </c>
      <c r="G1416" s="10" t="s">
        <v>54</v>
      </c>
      <c r="H1416" s="10">
        <v>3200</v>
      </c>
      <c r="I1416" s="6">
        <v>1</v>
      </c>
      <c r="J1416" s="6">
        <f>H1416*I1416</f>
        <v>3200</v>
      </c>
    </row>
    <row r="1417" spans="2:10" ht="20.100000000000001" customHeight="1" x14ac:dyDescent="0.25">
      <c r="B1417" s="5">
        <v>45178</v>
      </c>
      <c r="C1417" s="8" t="str">
        <f>"Ord-09-23-"&amp;TEXT(ROW(C50),"000")</f>
        <v>Ord-09-23-050</v>
      </c>
      <c r="D1417" s="6" t="s">
        <v>18</v>
      </c>
      <c r="E1417" s="10" t="s">
        <v>34</v>
      </c>
      <c r="F1417" s="10" t="s">
        <v>49</v>
      </c>
      <c r="G1417" s="10" t="s">
        <v>75</v>
      </c>
      <c r="H1417" s="10">
        <v>4300</v>
      </c>
      <c r="I1417" s="6">
        <v>3</v>
      </c>
      <c r="J1417" s="6">
        <f>H1417*I1417</f>
        <v>12900</v>
      </c>
    </row>
    <row r="1418" spans="2:10" ht="20.100000000000001" customHeight="1" x14ac:dyDescent="0.25">
      <c r="B1418" s="5">
        <v>45179</v>
      </c>
      <c r="C1418" s="8" t="str">
        <f>"Ord-09-23-"&amp;TEXT(ROW(C51),"000")</f>
        <v>Ord-09-23-051</v>
      </c>
      <c r="D1418" s="6" t="s">
        <v>14</v>
      </c>
      <c r="E1418" s="10" t="s">
        <v>31</v>
      </c>
      <c r="F1418" s="10" t="s">
        <v>43</v>
      </c>
      <c r="G1418" s="10" t="s">
        <v>61</v>
      </c>
      <c r="H1418" s="10">
        <v>18000</v>
      </c>
      <c r="I1418" s="6">
        <v>2</v>
      </c>
      <c r="J1418" s="6">
        <f>H1418*I1418</f>
        <v>36000</v>
      </c>
    </row>
    <row r="1419" spans="2:10" ht="20.100000000000001" customHeight="1" x14ac:dyDescent="0.25">
      <c r="B1419" s="5">
        <v>45179</v>
      </c>
      <c r="C1419" s="8" t="str">
        <f>"Ord-09-23-"&amp;TEXT(ROW(C52),"000")</f>
        <v>Ord-09-23-052</v>
      </c>
      <c r="D1419" s="6" t="s">
        <v>23</v>
      </c>
      <c r="E1419" s="10" t="s">
        <v>31</v>
      </c>
      <c r="F1419" s="10" t="s">
        <v>52</v>
      </c>
      <c r="G1419" s="10" t="s">
        <v>66</v>
      </c>
      <c r="H1419" s="10">
        <v>3200</v>
      </c>
      <c r="I1419" s="6">
        <v>1</v>
      </c>
      <c r="J1419" s="6">
        <f>H1419*I1419</f>
        <v>3200</v>
      </c>
    </row>
    <row r="1420" spans="2:10" ht="20.100000000000001" customHeight="1" x14ac:dyDescent="0.25">
      <c r="B1420" s="5">
        <v>45179</v>
      </c>
      <c r="C1420" s="8" t="str">
        <f>"Ord-09-23-"&amp;TEXT(ROW(C53),"000")</f>
        <v>Ord-09-23-053</v>
      </c>
      <c r="D1420" s="6" t="s">
        <v>10</v>
      </c>
      <c r="E1420" s="10" t="s">
        <v>27</v>
      </c>
      <c r="F1420" s="10" t="s">
        <v>42</v>
      </c>
      <c r="G1420" s="10" t="s">
        <v>42</v>
      </c>
      <c r="H1420" s="10">
        <v>2500</v>
      </c>
      <c r="I1420" s="6">
        <v>1</v>
      </c>
      <c r="J1420" s="6">
        <f>H1420*I1420</f>
        <v>2500</v>
      </c>
    </row>
    <row r="1421" spans="2:10" ht="20.100000000000001" customHeight="1" x14ac:dyDescent="0.25">
      <c r="B1421" s="5">
        <v>45179</v>
      </c>
      <c r="C1421" s="8" t="str">
        <f>"Ord-09-23-"&amp;TEXT(ROW(C54),"000")</f>
        <v>Ord-09-23-054</v>
      </c>
      <c r="D1421" s="6" t="s">
        <v>21</v>
      </c>
      <c r="E1421" s="10" t="s">
        <v>27</v>
      </c>
      <c r="F1421" s="10" t="s">
        <v>38</v>
      </c>
      <c r="G1421" s="10" t="s">
        <v>53</v>
      </c>
      <c r="H1421" s="10">
        <v>5500</v>
      </c>
      <c r="I1421" s="6">
        <v>2</v>
      </c>
      <c r="J1421" s="6">
        <f>H1421*I1421</f>
        <v>11000</v>
      </c>
    </row>
    <row r="1422" spans="2:10" ht="20.100000000000001" customHeight="1" x14ac:dyDescent="0.25">
      <c r="B1422" s="5">
        <v>45179</v>
      </c>
      <c r="C1422" s="8" t="str">
        <f>"Ord-09-23-"&amp;TEXT(ROW(C55),"000")</f>
        <v>Ord-09-23-055</v>
      </c>
      <c r="D1422" s="6" t="s">
        <v>7</v>
      </c>
      <c r="E1422" s="10" t="s">
        <v>27</v>
      </c>
      <c r="F1422" s="10" t="s">
        <v>38</v>
      </c>
      <c r="G1422" s="10" t="s">
        <v>54</v>
      </c>
      <c r="H1422" s="10">
        <v>5200</v>
      </c>
      <c r="I1422" s="6">
        <v>1</v>
      </c>
      <c r="J1422" s="6">
        <f>H1422*I1422</f>
        <v>5200</v>
      </c>
    </row>
    <row r="1423" spans="2:10" ht="20.100000000000001" customHeight="1" x14ac:dyDescent="0.25">
      <c r="B1423" s="5">
        <v>45180</v>
      </c>
      <c r="C1423" s="8" t="str">
        <f>"Ord-09-23-"&amp;TEXT(ROW(C56),"000")</f>
        <v>Ord-09-23-056</v>
      </c>
      <c r="D1423" s="6" t="s">
        <v>10</v>
      </c>
      <c r="E1423" s="10" t="s">
        <v>33</v>
      </c>
      <c r="F1423" s="10" t="s">
        <v>47</v>
      </c>
      <c r="G1423" s="10" t="s">
        <v>65</v>
      </c>
      <c r="H1423" s="10">
        <v>25</v>
      </c>
      <c r="I1423" s="6">
        <v>300</v>
      </c>
      <c r="J1423" s="6">
        <f>H1423*I1423</f>
        <v>7500</v>
      </c>
    </row>
    <row r="1424" spans="2:10" ht="20.100000000000001" customHeight="1" x14ac:dyDescent="0.25">
      <c r="B1424" s="5">
        <v>45180</v>
      </c>
      <c r="C1424" s="8" t="str">
        <f>"Ord-09-23-"&amp;TEXT(ROW(C57),"000")</f>
        <v>Ord-09-23-057</v>
      </c>
      <c r="D1424" s="6" t="s">
        <v>23</v>
      </c>
      <c r="E1424" s="10" t="s">
        <v>31</v>
      </c>
      <c r="F1424" s="10" t="s">
        <v>48</v>
      </c>
      <c r="G1424" s="10" t="s">
        <v>67</v>
      </c>
      <c r="H1424" s="10">
        <v>8000</v>
      </c>
      <c r="I1424" s="6">
        <v>2</v>
      </c>
      <c r="J1424" s="6">
        <f>H1424*I1424</f>
        <v>16000</v>
      </c>
    </row>
    <row r="1425" spans="2:10" ht="20.100000000000001" customHeight="1" x14ac:dyDescent="0.25">
      <c r="B1425" s="5">
        <v>45180</v>
      </c>
      <c r="C1425" s="8" t="str">
        <f>"Ord-09-23-"&amp;TEXT(ROW(C58),"000")</f>
        <v>Ord-09-23-058</v>
      </c>
      <c r="D1425" s="6" t="s">
        <v>10</v>
      </c>
      <c r="E1425" s="10" t="s">
        <v>36</v>
      </c>
      <c r="F1425" s="10" t="s">
        <v>36</v>
      </c>
      <c r="G1425" s="10" t="s">
        <v>85</v>
      </c>
      <c r="H1425" s="10">
        <v>2200</v>
      </c>
      <c r="I1425" s="7">
        <v>3</v>
      </c>
      <c r="J1425" s="6">
        <f>H1425*I1425</f>
        <v>6600</v>
      </c>
    </row>
    <row r="1426" spans="2:10" ht="20.100000000000001" customHeight="1" x14ac:dyDescent="0.25">
      <c r="B1426" s="5">
        <v>45180</v>
      </c>
      <c r="C1426" s="8" t="str">
        <f>"Ord-09-23-"&amp;TEXT(ROW(C59),"000")</f>
        <v>Ord-09-23-059</v>
      </c>
      <c r="D1426" s="6" t="s">
        <v>13</v>
      </c>
      <c r="E1426" s="10" t="s">
        <v>36</v>
      </c>
      <c r="F1426" s="10" t="s">
        <v>36</v>
      </c>
      <c r="G1426" s="10" t="s">
        <v>78</v>
      </c>
      <c r="H1426" s="10">
        <v>2500</v>
      </c>
      <c r="I1426" s="6">
        <v>4</v>
      </c>
      <c r="J1426" s="6">
        <f>H1426*I1426</f>
        <v>10000</v>
      </c>
    </row>
    <row r="1427" spans="2:10" ht="20.100000000000001" customHeight="1" x14ac:dyDescent="0.25">
      <c r="B1427" s="5">
        <v>45180</v>
      </c>
      <c r="C1427" s="8" t="str">
        <f>"Ord-09-23-"&amp;TEXT(ROW(C60),"000")</f>
        <v>Ord-09-23-060</v>
      </c>
      <c r="D1427" s="6" t="s">
        <v>25</v>
      </c>
      <c r="E1427" s="10" t="s">
        <v>27</v>
      </c>
      <c r="F1427" s="10" t="s">
        <v>50</v>
      </c>
      <c r="G1427" s="10" t="s">
        <v>64</v>
      </c>
      <c r="H1427" s="10">
        <v>3000</v>
      </c>
      <c r="I1427" s="6">
        <v>5</v>
      </c>
      <c r="J1427" s="6">
        <f>H1427*I1427</f>
        <v>15000</v>
      </c>
    </row>
    <row r="1428" spans="2:10" ht="20.100000000000001" customHeight="1" x14ac:dyDescent="0.25">
      <c r="B1428" s="5">
        <v>45181</v>
      </c>
      <c r="C1428" s="8" t="str">
        <f>"Ord-09-23-"&amp;TEXT(ROW(C61),"000")</f>
        <v>Ord-09-23-061</v>
      </c>
      <c r="D1428" s="6" t="s">
        <v>17</v>
      </c>
      <c r="E1428" s="10" t="s">
        <v>28</v>
      </c>
      <c r="F1428" s="10" t="s">
        <v>28</v>
      </c>
      <c r="G1428" s="10" t="s">
        <v>71</v>
      </c>
      <c r="H1428" s="10">
        <v>850</v>
      </c>
      <c r="I1428" s="6">
        <v>5</v>
      </c>
      <c r="J1428" s="6">
        <f>H1428*I1428</f>
        <v>4250</v>
      </c>
    </row>
    <row r="1429" spans="2:10" ht="20.100000000000001" customHeight="1" x14ac:dyDescent="0.25">
      <c r="B1429" s="5">
        <v>45181</v>
      </c>
      <c r="C1429" s="8" t="str">
        <f>"Ord-09-23-"&amp;TEXT(ROW(C62),"000")</f>
        <v>Ord-09-23-062</v>
      </c>
      <c r="D1429" s="6" t="s">
        <v>13</v>
      </c>
      <c r="E1429" s="10" t="s">
        <v>32</v>
      </c>
      <c r="F1429" s="10" t="s">
        <v>44</v>
      </c>
      <c r="G1429" s="10" t="s">
        <v>62</v>
      </c>
      <c r="H1429" s="10">
        <v>1200</v>
      </c>
      <c r="I1429" s="6">
        <v>3</v>
      </c>
      <c r="J1429" s="6">
        <f>H1429*I1429</f>
        <v>3600</v>
      </c>
    </row>
    <row r="1430" spans="2:10" ht="20.100000000000001" customHeight="1" x14ac:dyDescent="0.25">
      <c r="B1430" s="5">
        <v>45181</v>
      </c>
      <c r="C1430" s="8" t="str">
        <f>"Ord-09-23-"&amp;TEXT(ROW(C63),"000")</f>
        <v>Ord-09-23-063</v>
      </c>
      <c r="D1430" s="6" t="s">
        <v>7</v>
      </c>
      <c r="E1430" s="10" t="s">
        <v>31</v>
      </c>
      <c r="F1430" s="10" t="s">
        <v>45</v>
      </c>
      <c r="G1430" s="10" t="s">
        <v>66</v>
      </c>
      <c r="H1430" s="10">
        <v>2300</v>
      </c>
      <c r="I1430" s="6">
        <v>5</v>
      </c>
      <c r="J1430" s="6">
        <f>H1430*I1430</f>
        <v>11500</v>
      </c>
    </row>
    <row r="1431" spans="2:10" ht="20.100000000000001" customHeight="1" x14ac:dyDescent="0.25">
      <c r="B1431" s="5">
        <v>45181</v>
      </c>
      <c r="C1431" s="8" t="str">
        <f>"Ord-09-23-"&amp;TEXT(ROW(C64),"000")</f>
        <v>Ord-09-23-064</v>
      </c>
      <c r="D1431" s="6" t="s">
        <v>24</v>
      </c>
      <c r="E1431" s="10" t="s">
        <v>27</v>
      </c>
      <c r="F1431" s="10" t="s">
        <v>50</v>
      </c>
      <c r="G1431" s="10" t="s">
        <v>54</v>
      </c>
      <c r="H1431" s="10">
        <v>3200</v>
      </c>
      <c r="I1431" s="6">
        <v>1</v>
      </c>
      <c r="J1431" s="6">
        <f>H1431*I1431</f>
        <v>3200</v>
      </c>
    </row>
    <row r="1432" spans="2:10" ht="20.100000000000001" customHeight="1" x14ac:dyDescent="0.25">
      <c r="B1432" s="5">
        <v>45181</v>
      </c>
      <c r="C1432" s="8" t="str">
        <f>"Ord-09-23-"&amp;TEXT(ROW(C65),"000")</f>
        <v>Ord-09-23-065</v>
      </c>
      <c r="D1432" s="6" t="s">
        <v>24</v>
      </c>
      <c r="E1432" s="10" t="s">
        <v>27</v>
      </c>
      <c r="F1432" s="10" t="s">
        <v>38</v>
      </c>
      <c r="G1432" s="10" t="s">
        <v>53</v>
      </c>
      <c r="H1432" s="10">
        <v>5500</v>
      </c>
      <c r="I1432" s="6">
        <v>1</v>
      </c>
      <c r="J1432" s="6">
        <f>H1432*I1432</f>
        <v>5500</v>
      </c>
    </row>
    <row r="1433" spans="2:10" ht="20.100000000000001" customHeight="1" x14ac:dyDescent="0.25">
      <c r="B1433" s="5">
        <v>45182</v>
      </c>
      <c r="C1433" s="8" t="str">
        <f>"Ord-09-23-"&amp;TEXT(ROW(C66),"000")</f>
        <v>Ord-09-23-066</v>
      </c>
      <c r="D1433" s="6" t="s">
        <v>19</v>
      </c>
      <c r="E1433" s="10" t="s">
        <v>32</v>
      </c>
      <c r="F1433" s="10" t="s">
        <v>44</v>
      </c>
      <c r="G1433" s="10" t="s">
        <v>87</v>
      </c>
      <c r="H1433" s="10">
        <v>1500</v>
      </c>
      <c r="I1433" s="6">
        <v>4</v>
      </c>
      <c r="J1433" s="6">
        <f>H1433*I1433</f>
        <v>6000</v>
      </c>
    </row>
    <row r="1434" spans="2:10" ht="20.100000000000001" customHeight="1" x14ac:dyDescent="0.25">
      <c r="B1434" s="5">
        <v>45182</v>
      </c>
      <c r="C1434" s="8" t="str">
        <f>"Ord-09-23-"&amp;TEXT(ROW(C67),"000")</f>
        <v>Ord-09-23-067</v>
      </c>
      <c r="D1434" s="6" t="s">
        <v>7</v>
      </c>
      <c r="E1434" s="10" t="s">
        <v>32</v>
      </c>
      <c r="F1434" s="10" t="s">
        <v>44</v>
      </c>
      <c r="G1434" s="10" t="s">
        <v>72</v>
      </c>
      <c r="H1434" s="10">
        <v>2200</v>
      </c>
      <c r="I1434" s="6">
        <v>5</v>
      </c>
      <c r="J1434" s="6">
        <f>H1434*I1434</f>
        <v>11000</v>
      </c>
    </row>
    <row r="1435" spans="2:10" ht="20.100000000000001" customHeight="1" x14ac:dyDescent="0.25">
      <c r="B1435" s="5">
        <v>45182</v>
      </c>
      <c r="C1435" s="8" t="str">
        <f>"Ord-09-23-"&amp;TEXT(ROW(C68),"000")</f>
        <v>Ord-09-23-068</v>
      </c>
      <c r="D1435" s="6" t="s">
        <v>15</v>
      </c>
      <c r="E1435" s="10" t="s">
        <v>27</v>
      </c>
      <c r="F1435" s="10" t="s">
        <v>42</v>
      </c>
      <c r="G1435" s="10" t="s">
        <v>42</v>
      </c>
      <c r="H1435" s="10">
        <v>2500</v>
      </c>
      <c r="I1435" s="6">
        <v>4</v>
      </c>
      <c r="J1435" s="6">
        <f>H1435*I1435</f>
        <v>10000</v>
      </c>
    </row>
    <row r="1436" spans="2:10" ht="20.100000000000001" customHeight="1" x14ac:dyDescent="0.25">
      <c r="B1436" s="5">
        <v>45182</v>
      </c>
      <c r="C1436" s="8" t="str">
        <f>"Ord-09-23-"&amp;TEXT(ROW(C69),"000")</f>
        <v>Ord-09-23-069</v>
      </c>
      <c r="D1436" s="6" t="s">
        <v>26</v>
      </c>
      <c r="E1436" s="10" t="s">
        <v>27</v>
      </c>
      <c r="F1436" s="10" t="s">
        <v>50</v>
      </c>
      <c r="G1436" s="10" t="s">
        <v>53</v>
      </c>
      <c r="H1436" s="10">
        <v>3500</v>
      </c>
      <c r="I1436" s="6">
        <v>5</v>
      </c>
      <c r="J1436" s="6">
        <f>H1436*I1436</f>
        <v>17500</v>
      </c>
    </row>
    <row r="1437" spans="2:10" ht="20.100000000000001" customHeight="1" x14ac:dyDescent="0.25">
      <c r="B1437" s="5">
        <v>45182</v>
      </c>
      <c r="C1437" s="8" t="str">
        <f>"Ord-09-23-"&amp;TEXT(ROW(C70),"000")</f>
        <v>Ord-09-23-070</v>
      </c>
      <c r="D1437" s="6" t="s">
        <v>8</v>
      </c>
      <c r="E1437" s="10" t="s">
        <v>27</v>
      </c>
      <c r="F1437" s="10" t="s">
        <v>41</v>
      </c>
      <c r="G1437" s="10" t="s">
        <v>54</v>
      </c>
      <c r="H1437" s="10">
        <v>2800</v>
      </c>
      <c r="I1437" s="6">
        <v>2</v>
      </c>
      <c r="J1437" s="6">
        <f>H1437*I1437</f>
        <v>5600</v>
      </c>
    </row>
    <row r="1438" spans="2:10" ht="20.100000000000001" customHeight="1" x14ac:dyDescent="0.25">
      <c r="B1438" s="5">
        <v>45183</v>
      </c>
      <c r="C1438" s="8" t="str">
        <f>"Ord-09-23-"&amp;TEXT(ROW(C71),"000")</f>
        <v>Ord-09-23-071</v>
      </c>
      <c r="D1438" s="6" t="s">
        <v>18</v>
      </c>
      <c r="E1438" s="10" t="s">
        <v>28</v>
      </c>
      <c r="F1438" s="10" t="s">
        <v>28</v>
      </c>
      <c r="G1438" s="10" t="s">
        <v>58</v>
      </c>
      <c r="H1438" s="10">
        <v>1000</v>
      </c>
      <c r="I1438" s="6">
        <v>1</v>
      </c>
      <c r="J1438" s="6">
        <f>H1438*I1438</f>
        <v>1000</v>
      </c>
    </row>
    <row r="1439" spans="2:10" ht="20.100000000000001" customHeight="1" x14ac:dyDescent="0.25">
      <c r="B1439" s="5">
        <v>45183</v>
      </c>
      <c r="C1439" s="8" t="str">
        <f>"Ord-09-23-"&amp;TEXT(ROW(C72),"000")</f>
        <v>Ord-09-23-072</v>
      </c>
      <c r="D1439" s="6" t="s">
        <v>10</v>
      </c>
      <c r="E1439" s="10" t="s">
        <v>33</v>
      </c>
      <c r="F1439" s="10" t="s">
        <v>47</v>
      </c>
      <c r="G1439" s="10" t="s">
        <v>65</v>
      </c>
      <c r="H1439" s="10">
        <v>25</v>
      </c>
      <c r="I1439" s="6">
        <v>700</v>
      </c>
      <c r="J1439" s="6">
        <f>H1439*I1439</f>
        <v>17500</v>
      </c>
    </row>
    <row r="1440" spans="2:10" ht="20.100000000000001" customHeight="1" x14ac:dyDescent="0.25">
      <c r="B1440" s="5">
        <v>45183</v>
      </c>
      <c r="C1440" s="8" t="str">
        <f>"Ord-09-23-"&amp;TEXT(ROW(C73),"000")</f>
        <v>Ord-09-23-073</v>
      </c>
      <c r="D1440" s="6" t="s">
        <v>11</v>
      </c>
      <c r="E1440" s="10" t="s">
        <v>31</v>
      </c>
      <c r="F1440" s="10" t="s">
        <v>52</v>
      </c>
      <c r="G1440" s="10" t="s">
        <v>67</v>
      </c>
      <c r="H1440" s="10">
        <v>4000</v>
      </c>
      <c r="I1440" s="6">
        <v>2</v>
      </c>
      <c r="J1440" s="6">
        <f>H1440*I1440</f>
        <v>8000</v>
      </c>
    </row>
    <row r="1441" spans="2:10" ht="20.100000000000001" customHeight="1" x14ac:dyDescent="0.25">
      <c r="B1441" s="5">
        <v>45183</v>
      </c>
      <c r="C1441" s="8" t="str">
        <f>"Ord-09-23-"&amp;TEXT(ROW(C74),"000")</f>
        <v>Ord-09-23-074</v>
      </c>
      <c r="D1441" s="6" t="s">
        <v>23</v>
      </c>
      <c r="E1441" s="10" t="s">
        <v>27</v>
      </c>
      <c r="F1441" s="10" t="s">
        <v>42</v>
      </c>
      <c r="G1441" s="10" t="s">
        <v>42</v>
      </c>
      <c r="H1441" s="10">
        <v>2500</v>
      </c>
      <c r="I1441" s="6">
        <v>1</v>
      </c>
      <c r="J1441" s="6">
        <f>H1441*I1441</f>
        <v>2500</v>
      </c>
    </row>
    <row r="1442" spans="2:10" ht="20.100000000000001" customHeight="1" x14ac:dyDescent="0.25">
      <c r="B1442" s="5">
        <v>45183</v>
      </c>
      <c r="C1442" s="8" t="str">
        <f>"Ord-09-23-"&amp;TEXT(ROW(C75),"000")</f>
        <v>Ord-09-23-075</v>
      </c>
      <c r="D1442" s="6" t="s">
        <v>25</v>
      </c>
      <c r="E1442" s="10" t="s">
        <v>27</v>
      </c>
      <c r="F1442" s="10" t="s">
        <v>50</v>
      </c>
      <c r="G1442" s="10" t="s">
        <v>64</v>
      </c>
      <c r="H1442" s="10">
        <v>3000</v>
      </c>
      <c r="I1442" s="6">
        <v>3</v>
      </c>
      <c r="J1442" s="6">
        <f>H1442*I1442</f>
        <v>9000</v>
      </c>
    </row>
    <row r="1443" spans="2:10" ht="20.100000000000001" customHeight="1" x14ac:dyDescent="0.25">
      <c r="B1443" s="5">
        <v>45184</v>
      </c>
      <c r="C1443" s="8" t="str">
        <f>"Ord-09-23-"&amp;TEXT(ROW(C76),"000")</f>
        <v>Ord-09-23-076</v>
      </c>
      <c r="D1443" s="6" t="s">
        <v>21</v>
      </c>
      <c r="E1443" s="10" t="s">
        <v>28</v>
      </c>
      <c r="F1443" s="10" t="s">
        <v>28</v>
      </c>
      <c r="G1443" s="10" t="s">
        <v>55</v>
      </c>
      <c r="H1443" s="10">
        <v>750</v>
      </c>
      <c r="I1443" s="6">
        <v>4</v>
      </c>
      <c r="J1443" s="6">
        <f>H1443*I1443</f>
        <v>3000</v>
      </c>
    </row>
    <row r="1444" spans="2:10" ht="20.100000000000001" customHeight="1" x14ac:dyDescent="0.25">
      <c r="B1444" s="5">
        <v>45184</v>
      </c>
      <c r="C1444" s="8" t="str">
        <f>"Ord-09-23-"&amp;TEXT(ROW(C77),"000")</f>
        <v>Ord-09-23-077</v>
      </c>
      <c r="D1444" s="6" t="s">
        <v>8</v>
      </c>
      <c r="E1444" s="10" t="s">
        <v>31</v>
      </c>
      <c r="F1444" s="10" t="s">
        <v>43</v>
      </c>
      <c r="G1444" s="10" t="s">
        <v>59</v>
      </c>
      <c r="H1444" s="10">
        <v>5200</v>
      </c>
      <c r="I1444" s="6">
        <v>1</v>
      </c>
      <c r="J1444" s="6">
        <f>H1444*I1444</f>
        <v>5200</v>
      </c>
    </row>
    <row r="1445" spans="2:10" ht="20.100000000000001" customHeight="1" x14ac:dyDescent="0.25">
      <c r="B1445" s="5">
        <v>45184</v>
      </c>
      <c r="C1445" s="8" t="str">
        <f>"Ord-09-23-"&amp;TEXT(ROW(C78),"000")</f>
        <v>Ord-09-23-078</v>
      </c>
      <c r="D1445" s="6" t="s">
        <v>13</v>
      </c>
      <c r="E1445" s="10" t="s">
        <v>31</v>
      </c>
      <c r="F1445" s="10" t="s">
        <v>45</v>
      </c>
      <c r="G1445" s="10" t="s">
        <v>67</v>
      </c>
      <c r="H1445" s="10">
        <v>8500</v>
      </c>
      <c r="I1445" s="6">
        <v>2</v>
      </c>
      <c r="J1445" s="6">
        <f>H1445*I1445</f>
        <v>17000</v>
      </c>
    </row>
    <row r="1446" spans="2:10" ht="20.100000000000001" customHeight="1" x14ac:dyDescent="0.25">
      <c r="B1446" s="5">
        <v>45184</v>
      </c>
      <c r="C1446" s="8" t="str">
        <f>"Ord-09-23-"&amp;TEXT(ROW(C79),"000")</f>
        <v>Ord-09-23-079</v>
      </c>
      <c r="D1446" s="6" t="s">
        <v>19</v>
      </c>
      <c r="E1446" s="10" t="s">
        <v>31</v>
      </c>
      <c r="F1446" s="10" t="s">
        <v>52</v>
      </c>
      <c r="G1446" s="10" t="s">
        <v>82</v>
      </c>
      <c r="H1446" s="10">
        <v>5000</v>
      </c>
      <c r="I1446" s="6">
        <v>3</v>
      </c>
      <c r="J1446" s="6">
        <f>H1446*I1446</f>
        <v>15000</v>
      </c>
    </row>
    <row r="1447" spans="2:10" ht="20.100000000000001" customHeight="1" x14ac:dyDescent="0.25">
      <c r="B1447" s="5">
        <v>45184</v>
      </c>
      <c r="C1447" s="8" t="str">
        <f>"Ord-09-23-"&amp;TEXT(ROW(C80),"000")</f>
        <v>Ord-09-23-080</v>
      </c>
      <c r="D1447" s="6" t="s">
        <v>25</v>
      </c>
      <c r="E1447" s="10" t="s">
        <v>27</v>
      </c>
      <c r="F1447" s="10" t="s">
        <v>42</v>
      </c>
      <c r="G1447" s="10" t="s">
        <v>42</v>
      </c>
      <c r="H1447" s="10">
        <v>2500</v>
      </c>
      <c r="I1447" s="6">
        <v>2</v>
      </c>
      <c r="J1447" s="6">
        <f>H1447*I1447</f>
        <v>5000</v>
      </c>
    </row>
    <row r="1448" spans="2:10" ht="20.100000000000001" customHeight="1" x14ac:dyDescent="0.25">
      <c r="B1448" s="5">
        <v>45185</v>
      </c>
      <c r="C1448" s="8" t="str">
        <f>"Ord-09-23-"&amp;TEXT(ROW(C81),"000")</f>
        <v>Ord-09-23-081</v>
      </c>
      <c r="D1448" s="6" t="s">
        <v>19</v>
      </c>
      <c r="E1448" s="10" t="s">
        <v>35</v>
      </c>
      <c r="F1448" s="12" t="s">
        <v>90</v>
      </c>
      <c r="G1448" s="10" t="s">
        <v>58</v>
      </c>
      <c r="H1448" s="10">
        <v>7500</v>
      </c>
      <c r="I1448" s="6">
        <v>2</v>
      </c>
      <c r="J1448" s="6">
        <f>H1448*I1448</f>
        <v>15000</v>
      </c>
    </row>
    <row r="1449" spans="2:10" ht="20.100000000000001" customHeight="1" x14ac:dyDescent="0.25">
      <c r="B1449" s="5">
        <v>45185</v>
      </c>
      <c r="C1449" s="8" t="str">
        <f>"Ord-09-23-"&amp;TEXT(ROW(C82),"000")</f>
        <v>Ord-09-23-082</v>
      </c>
      <c r="D1449" s="6" t="s">
        <v>26</v>
      </c>
      <c r="E1449" s="10" t="s">
        <v>35</v>
      </c>
      <c r="F1449" s="12" t="s">
        <v>90</v>
      </c>
      <c r="G1449" s="10" t="s">
        <v>58</v>
      </c>
      <c r="H1449" s="10">
        <v>7500</v>
      </c>
      <c r="I1449" s="6">
        <v>1</v>
      </c>
      <c r="J1449" s="6">
        <f>H1449*I1449</f>
        <v>7500</v>
      </c>
    </row>
    <row r="1450" spans="2:10" ht="20.100000000000001" customHeight="1" x14ac:dyDescent="0.25">
      <c r="B1450" s="5">
        <v>45185</v>
      </c>
      <c r="C1450" s="8" t="str">
        <f>"Ord-09-23-"&amp;TEXT(ROW(C83),"000")</f>
        <v>Ord-09-23-083</v>
      </c>
      <c r="D1450" s="6" t="s">
        <v>15</v>
      </c>
      <c r="E1450" s="10" t="s">
        <v>29</v>
      </c>
      <c r="F1450" s="10" t="s">
        <v>39</v>
      </c>
      <c r="G1450" s="10" t="s">
        <v>56</v>
      </c>
      <c r="H1450" s="10">
        <v>2500</v>
      </c>
      <c r="I1450" s="6">
        <v>5</v>
      </c>
      <c r="J1450" s="6">
        <f>H1450*I1450</f>
        <v>12500</v>
      </c>
    </row>
    <row r="1451" spans="2:10" ht="20.100000000000001" customHeight="1" x14ac:dyDescent="0.25">
      <c r="B1451" s="5">
        <v>45185</v>
      </c>
      <c r="C1451" s="8" t="str">
        <f>"Ord-09-23-"&amp;TEXT(ROW(C84),"000")</f>
        <v>Ord-09-23-084</v>
      </c>
      <c r="D1451" s="6" t="s">
        <v>9</v>
      </c>
      <c r="E1451" s="10" t="s">
        <v>27</v>
      </c>
      <c r="F1451" s="10" t="s">
        <v>42</v>
      </c>
      <c r="G1451" s="10" t="s">
        <v>42</v>
      </c>
      <c r="H1451" s="10">
        <v>2500</v>
      </c>
      <c r="I1451" s="7">
        <v>1</v>
      </c>
      <c r="J1451" s="6">
        <f>H1451*I1451</f>
        <v>2500</v>
      </c>
    </row>
    <row r="1452" spans="2:10" ht="20.100000000000001" customHeight="1" x14ac:dyDescent="0.25">
      <c r="B1452" s="5">
        <v>45185</v>
      </c>
      <c r="C1452" s="8" t="str">
        <f>"Ord-09-23-"&amp;TEXT(ROW(C85),"000")</f>
        <v>Ord-09-23-085</v>
      </c>
      <c r="D1452" s="6" t="s">
        <v>22</v>
      </c>
      <c r="E1452" s="10" t="s">
        <v>27</v>
      </c>
      <c r="F1452" s="10" t="s">
        <v>41</v>
      </c>
      <c r="G1452" s="10" t="s">
        <v>54</v>
      </c>
      <c r="H1452" s="10">
        <v>2800</v>
      </c>
      <c r="I1452" s="6">
        <v>3</v>
      </c>
      <c r="J1452" s="6">
        <f>H1452*I1452</f>
        <v>8400</v>
      </c>
    </row>
    <row r="1453" spans="2:10" ht="20.100000000000001" customHeight="1" x14ac:dyDescent="0.25">
      <c r="B1453" s="5">
        <v>45186</v>
      </c>
      <c r="C1453" s="8" t="str">
        <f>"Ord-09-23-"&amp;TEXT(ROW(C86),"000")</f>
        <v>Ord-09-23-086</v>
      </c>
      <c r="D1453" s="6" t="s">
        <v>14</v>
      </c>
      <c r="E1453" s="10" t="s">
        <v>35</v>
      </c>
      <c r="F1453" s="12" t="s">
        <v>90</v>
      </c>
      <c r="G1453" s="10" t="s">
        <v>71</v>
      </c>
      <c r="H1453" s="10">
        <v>5500</v>
      </c>
      <c r="I1453" s="6">
        <v>2</v>
      </c>
      <c r="J1453" s="6">
        <f>H1453*I1453</f>
        <v>11000</v>
      </c>
    </row>
    <row r="1454" spans="2:10" ht="20.100000000000001" customHeight="1" x14ac:dyDescent="0.25">
      <c r="B1454" s="5">
        <v>45186</v>
      </c>
      <c r="C1454" s="8" t="str">
        <f>"Ord-09-23-"&amp;TEXT(ROW(C87),"000")</f>
        <v>Ord-09-23-087</v>
      </c>
      <c r="D1454" s="6" t="s">
        <v>25</v>
      </c>
      <c r="E1454" s="10" t="s">
        <v>28</v>
      </c>
      <c r="F1454" s="10" t="s">
        <v>28</v>
      </c>
      <c r="G1454" s="10" t="s">
        <v>71</v>
      </c>
      <c r="H1454" s="10">
        <v>850</v>
      </c>
      <c r="I1454" s="6">
        <v>5</v>
      </c>
      <c r="J1454" s="6">
        <f>H1454*I1454</f>
        <v>4250</v>
      </c>
    </row>
    <row r="1455" spans="2:10" ht="20.100000000000001" customHeight="1" x14ac:dyDescent="0.25">
      <c r="B1455" s="5">
        <v>45186</v>
      </c>
      <c r="C1455" s="8" t="str">
        <f>"Ord-09-23-"&amp;TEXT(ROW(C88),"000")</f>
        <v>Ord-09-23-088</v>
      </c>
      <c r="D1455" s="6" t="s">
        <v>8</v>
      </c>
      <c r="E1455" s="10" t="s">
        <v>29</v>
      </c>
      <c r="F1455" s="10" t="s">
        <v>40</v>
      </c>
      <c r="G1455" s="10" t="s">
        <v>57</v>
      </c>
      <c r="H1455" s="10">
        <v>4000</v>
      </c>
      <c r="I1455" s="6">
        <v>2</v>
      </c>
      <c r="J1455" s="6">
        <f>H1455*I1455</f>
        <v>8000</v>
      </c>
    </row>
    <row r="1456" spans="2:10" ht="20.100000000000001" customHeight="1" x14ac:dyDescent="0.25">
      <c r="B1456" s="5">
        <v>45186</v>
      </c>
      <c r="C1456" s="8" t="str">
        <f>"Ord-09-23-"&amp;TEXT(ROW(C89),"000")</f>
        <v>Ord-09-23-089</v>
      </c>
      <c r="D1456" s="6" t="s">
        <v>21</v>
      </c>
      <c r="E1456" s="10" t="s">
        <v>29</v>
      </c>
      <c r="F1456" s="10" t="s">
        <v>40</v>
      </c>
      <c r="G1456" s="10" t="s">
        <v>84</v>
      </c>
      <c r="H1456" s="10">
        <v>7500</v>
      </c>
      <c r="I1456" s="6">
        <v>2</v>
      </c>
      <c r="J1456" s="6">
        <f>H1456*I1456</f>
        <v>15000</v>
      </c>
    </row>
    <row r="1457" spans="2:10" ht="20.100000000000001" customHeight="1" x14ac:dyDescent="0.25">
      <c r="B1457" s="5">
        <v>45186</v>
      </c>
      <c r="C1457" s="8" t="str">
        <f>"Ord-09-23-"&amp;TEXT(ROW(C90),"000")</f>
        <v>Ord-09-23-090</v>
      </c>
      <c r="D1457" s="6" t="s">
        <v>11</v>
      </c>
      <c r="E1457" s="10" t="s">
        <v>29</v>
      </c>
      <c r="F1457" s="10" t="s">
        <v>39</v>
      </c>
      <c r="G1457" s="10" t="s">
        <v>56</v>
      </c>
      <c r="H1457" s="10">
        <v>2500</v>
      </c>
      <c r="I1457" s="6">
        <v>5</v>
      </c>
      <c r="J1457" s="6">
        <f>H1457*I1457</f>
        <v>12500</v>
      </c>
    </row>
    <row r="1458" spans="2:10" ht="20.100000000000001" customHeight="1" x14ac:dyDescent="0.25">
      <c r="B1458" s="5">
        <v>45187</v>
      </c>
      <c r="C1458" s="8" t="str">
        <f>"Ord-09-23-"&amp;TEXT(ROW(C91),"000")</f>
        <v>Ord-09-23-091</v>
      </c>
      <c r="D1458" s="6" t="s">
        <v>24</v>
      </c>
      <c r="E1458" s="10" t="s">
        <v>32</v>
      </c>
      <c r="F1458" s="10" t="s">
        <v>44</v>
      </c>
      <c r="G1458" s="10" t="s">
        <v>74</v>
      </c>
      <c r="H1458" s="10">
        <v>1800</v>
      </c>
      <c r="I1458" s="6">
        <v>5</v>
      </c>
      <c r="J1458" s="6">
        <f>H1458*I1458</f>
        <v>9000</v>
      </c>
    </row>
    <row r="1459" spans="2:10" ht="20.100000000000001" customHeight="1" x14ac:dyDescent="0.25">
      <c r="B1459" s="5">
        <v>45187</v>
      </c>
      <c r="C1459" s="8" t="str">
        <f>"Ord-09-23-"&amp;TEXT(ROW(C92),"000")</f>
        <v>Ord-09-23-092</v>
      </c>
      <c r="D1459" s="6" t="s">
        <v>20</v>
      </c>
      <c r="E1459" s="10" t="s">
        <v>31</v>
      </c>
      <c r="F1459" s="10" t="s">
        <v>43</v>
      </c>
      <c r="G1459" s="10" t="s">
        <v>59</v>
      </c>
      <c r="H1459" s="10">
        <v>5200</v>
      </c>
      <c r="I1459" s="6">
        <v>1</v>
      </c>
      <c r="J1459" s="6">
        <f>H1459*I1459</f>
        <v>5200</v>
      </c>
    </row>
    <row r="1460" spans="2:10" ht="20.100000000000001" customHeight="1" x14ac:dyDescent="0.25">
      <c r="B1460" s="5">
        <v>45187</v>
      </c>
      <c r="C1460" s="8" t="str">
        <f>"Ord-09-23-"&amp;TEXT(ROW(C93),"000")</f>
        <v>Ord-09-23-093</v>
      </c>
      <c r="D1460" s="6" t="s">
        <v>19</v>
      </c>
      <c r="E1460" s="10" t="s">
        <v>31</v>
      </c>
      <c r="F1460" s="10" t="s">
        <v>48</v>
      </c>
      <c r="G1460" s="10" t="s">
        <v>73</v>
      </c>
      <c r="H1460" s="10">
        <v>1600</v>
      </c>
      <c r="I1460" s="6">
        <v>4</v>
      </c>
      <c r="J1460" s="6">
        <f>H1460*I1460</f>
        <v>6400</v>
      </c>
    </row>
    <row r="1461" spans="2:10" ht="20.100000000000001" customHeight="1" x14ac:dyDescent="0.25">
      <c r="B1461" s="5">
        <v>45187</v>
      </c>
      <c r="C1461" s="8" t="str">
        <f>"Ord-09-23-"&amp;TEXT(ROW(C94),"000")</f>
        <v>Ord-09-23-094</v>
      </c>
      <c r="D1461" s="6" t="s">
        <v>25</v>
      </c>
      <c r="E1461" s="10" t="s">
        <v>29</v>
      </c>
      <c r="F1461" s="10" t="s">
        <v>40</v>
      </c>
      <c r="G1461" s="10" t="s">
        <v>84</v>
      </c>
      <c r="H1461" s="10">
        <v>7500</v>
      </c>
      <c r="I1461" s="6">
        <v>4</v>
      </c>
      <c r="J1461" s="6">
        <f>H1461*I1461</f>
        <v>30000</v>
      </c>
    </row>
    <row r="1462" spans="2:10" ht="20.100000000000001" customHeight="1" x14ac:dyDescent="0.25">
      <c r="B1462" s="5">
        <v>45187</v>
      </c>
      <c r="C1462" s="8" t="str">
        <f>"Ord-09-23-"&amp;TEXT(ROW(C95),"000")</f>
        <v>Ord-09-23-095</v>
      </c>
      <c r="D1462" s="6" t="s">
        <v>24</v>
      </c>
      <c r="E1462" s="10" t="s">
        <v>34</v>
      </c>
      <c r="F1462" s="10" t="s">
        <v>49</v>
      </c>
      <c r="G1462" s="10" t="s">
        <v>75</v>
      </c>
      <c r="H1462" s="10">
        <v>4300</v>
      </c>
      <c r="I1462" s="6">
        <v>1</v>
      </c>
      <c r="J1462" s="6">
        <f>H1462*I1462</f>
        <v>4300</v>
      </c>
    </row>
    <row r="1463" spans="2:10" ht="20.100000000000001" customHeight="1" x14ac:dyDescent="0.25">
      <c r="B1463" s="5">
        <v>45188</v>
      </c>
      <c r="C1463" s="8" t="str">
        <f>"Ord-09-23-"&amp;TEXT(ROW(C96),"000")</f>
        <v>Ord-09-23-096</v>
      </c>
      <c r="D1463" s="6" t="s">
        <v>13</v>
      </c>
      <c r="E1463" s="10" t="s">
        <v>31</v>
      </c>
      <c r="F1463" s="10" t="s">
        <v>45</v>
      </c>
      <c r="G1463" s="10" t="s">
        <v>66</v>
      </c>
      <c r="H1463" s="10">
        <v>2300</v>
      </c>
      <c r="I1463" s="6">
        <v>5</v>
      </c>
      <c r="J1463" s="6">
        <f>H1463*I1463</f>
        <v>11500</v>
      </c>
    </row>
    <row r="1464" spans="2:10" ht="20.100000000000001" customHeight="1" x14ac:dyDescent="0.25">
      <c r="B1464" s="5">
        <v>45188</v>
      </c>
      <c r="C1464" s="8" t="str">
        <f>"Ord-09-23-"&amp;TEXT(ROW(C97),"000")</f>
        <v>Ord-09-23-097</v>
      </c>
      <c r="D1464" s="6" t="s">
        <v>16</v>
      </c>
      <c r="E1464" s="10" t="s">
        <v>31</v>
      </c>
      <c r="F1464" s="10" t="s">
        <v>52</v>
      </c>
      <c r="G1464" s="10" t="s">
        <v>76</v>
      </c>
      <c r="H1464" s="10">
        <v>2800</v>
      </c>
      <c r="I1464" s="6">
        <v>2</v>
      </c>
      <c r="J1464" s="6">
        <f>H1464*I1464</f>
        <v>5600</v>
      </c>
    </row>
    <row r="1465" spans="2:10" ht="20.100000000000001" customHeight="1" x14ac:dyDescent="0.25">
      <c r="B1465" s="5">
        <v>45188</v>
      </c>
      <c r="C1465" s="8" t="str">
        <f>"Ord-09-23-"&amp;TEXT(ROW(C98),"000")</f>
        <v>Ord-09-23-098</v>
      </c>
      <c r="D1465" s="6" t="s">
        <v>20</v>
      </c>
      <c r="E1465" s="10" t="s">
        <v>36</v>
      </c>
      <c r="F1465" s="10" t="s">
        <v>36</v>
      </c>
      <c r="G1465" s="10" t="s">
        <v>78</v>
      </c>
      <c r="H1465" s="10">
        <v>2500</v>
      </c>
      <c r="I1465" s="6">
        <v>4</v>
      </c>
      <c r="J1465" s="6">
        <f>H1465*I1465</f>
        <v>10000</v>
      </c>
    </row>
    <row r="1466" spans="2:10" ht="20.100000000000001" customHeight="1" x14ac:dyDescent="0.25">
      <c r="B1466" s="5">
        <v>45188</v>
      </c>
      <c r="C1466" s="8" t="str">
        <f>"Ord-09-23-"&amp;TEXT(ROW(C99),"000")</f>
        <v>Ord-09-23-099</v>
      </c>
      <c r="D1466" s="6" t="s">
        <v>23</v>
      </c>
      <c r="E1466" s="10" t="s">
        <v>27</v>
      </c>
      <c r="F1466" s="10" t="s">
        <v>42</v>
      </c>
      <c r="G1466" s="10" t="s">
        <v>42</v>
      </c>
      <c r="H1466" s="10">
        <v>2500</v>
      </c>
      <c r="I1466" s="7">
        <v>3</v>
      </c>
      <c r="J1466" s="6">
        <f>H1466*I1466</f>
        <v>7500</v>
      </c>
    </row>
    <row r="1467" spans="2:10" ht="20.100000000000001" customHeight="1" x14ac:dyDescent="0.25">
      <c r="B1467" s="5">
        <v>45188</v>
      </c>
      <c r="C1467" s="8" t="str">
        <f>"Ord-09-23-"&amp;TEXT(ROW(C100),"000")</f>
        <v>Ord-09-23-100</v>
      </c>
      <c r="D1467" s="6" t="s">
        <v>7</v>
      </c>
      <c r="E1467" s="10" t="s">
        <v>27</v>
      </c>
      <c r="F1467" s="10" t="s">
        <v>50</v>
      </c>
      <c r="G1467" s="10" t="s">
        <v>54</v>
      </c>
      <c r="H1467" s="10">
        <v>3200</v>
      </c>
      <c r="I1467" s="6">
        <v>2</v>
      </c>
      <c r="J1467" s="6">
        <f>H1467*I1467</f>
        <v>6400</v>
      </c>
    </row>
    <row r="1468" spans="2:10" ht="20.100000000000001" customHeight="1" x14ac:dyDescent="0.25">
      <c r="B1468" s="5">
        <v>45189</v>
      </c>
      <c r="C1468" s="8" t="str">
        <f>"Ord-09-23-"&amp;TEXT(ROW(C101),"000")</f>
        <v>Ord-09-23-101</v>
      </c>
      <c r="D1468" s="6" t="s">
        <v>17</v>
      </c>
      <c r="E1468" s="10" t="s">
        <v>31</v>
      </c>
      <c r="F1468" s="10" t="s">
        <v>43</v>
      </c>
      <c r="G1468" s="10" t="s">
        <v>82</v>
      </c>
      <c r="H1468" s="10">
        <v>16000</v>
      </c>
      <c r="I1468" s="6">
        <v>1</v>
      </c>
      <c r="J1468" s="6">
        <f>H1468*I1468</f>
        <v>16000</v>
      </c>
    </row>
    <row r="1469" spans="2:10" ht="20.100000000000001" customHeight="1" x14ac:dyDescent="0.25">
      <c r="B1469" s="5">
        <v>45189</v>
      </c>
      <c r="C1469" s="8" t="str">
        <f>"Ord-09-23-"&amp;TEXT(ROW(C102),"000")</f>
        <v>Ord-09-23-102</v>
      </c>
      <c r="D1469" s="6" t="s">
        <v>23</v>
      </c>
      <c r="E1469" s="10" t="s">
        <v>27</v>
      </c>
      <c r="F1469" s="10" t="s">
        <v>42</v>
      </c>
      <c r="G1469" s="10" t="s">
        <v>42</v>
      </c>
      <c r="H1469" s="10">
        <v>2500</v>
      </c>
      <c r="I1469" s="7">
        <v>5</v>
      </c>
      <c r="J1469" s="6">
        <f>H1469*I1469</f>
        <v>12500</v>
      </c>
    </row>
    <row r="1470" spans="2:10" ht="20.100000000000001" customHeight="1" x14ac:dyDescent="0.25">
      <c r="B1470" s="5">
        <v>45189</v>
      </c>
      <c r="C1470" s="8" t="str">
        <f>"Ord-09-23-"&amp;TEXT(ROW(C103),"000")</f>
        <v>Ord-09-23-103</v>
      </c>
      <c r="D1470" s="6" t="s">
        <v>17</v>
      </c>
      <c r="E1470" s="10" t="s">
        <v>27</v>
      </c>
      <c r="F1470" s="10" t="s">
        <v>37</v>
      </c>
      <c r="G1470" s="10" t="s">
        <v>53</v>
      </c>
      <c r="H1470" s="10">
        <v>5200</v>
      </c>
      <c r="I1470" s="6">
        <v>2</v>
      </c>
      <c r="J1470" s="6">
        <f>H1470*I1470</f>
        <v>10400</v>
      </c>
    </row>
    <row r="1471" spans="2:10" ht="20.100000000000001" customHeight="1" x14ac:dyDescent="0.25">
      <c r="B1471" s="5">
        <v>45189</v>
      </c>
      <c r="C1471" s="8" t="str">
        <f>"Ord-09-23-"&amp;TEXT(ROW(C104),"000")</f>
        <v>Ord-09-23-104</v>
      </c>
      <c r="D1471" s="6" t="s">
        <v>18</v>
      </c>
      <c r="E1471" s="10" t="s">
        <v>27</v>
      </c>
      <c r="F1471" s="10" t="s">
        <v>37</v>
      </c>
      <c r="G1471" s="10" t="s">
        <v>64</v>
      </c>
      <c r="H1471" s="10">
        <v>4500</v>
      </c>
      <c r="I1471" s="6">
        <v>1</v>
      </c>
      <c r="J1471" s="6">
        <f>H1471*I1471</f>
        <v>4500</v>
      </c>
    </row>
    <row r="1472" spans="2:10" ht="20.100000000000001" customHeight="1" x14ac:dyDescent="0.25">
      <c r="B1472" s="5">
        <v>45189</v>
      </c>
      <c r="C1472" s="8" t="str">
        <f>"Ord-09-23-"&amp;TEXT(ROW(C105),"000")</f>
        <v>Ord-09-23-105</v>
      </c>
      <c r="D1472" s="6" t="s">
        <v>19</v>
      </c>
      <c r="E1472" s="10" t="s">
        <v>34</v>
      </c>
      <c r="F1472" s="10" t="s">
        <v>49</v>
      </c>
      <c r="G1472" s="10" t="s">
        <v>75</v>
      </c>
      <c r="H1472" s="10">
        <v>4300</v>
      </c>
      <c r="I1472" s="6">
        <v>1</v>
      </c>
      <c r="J1472" s="6">
        <f>H1472*I1472</f>
        <v>4300</v>
      </c>
    </row>
    <row r="1473" spans="2:10" ht="20.100000000000001" customHeight="1" x14ac:dyDescent="0.25">
      <c r="B1473" s="5">
        <v>45190</v>
      </c>
      <c r="C1473" s="8" t="str">
        <f>"Ord-09-23-"&amp;TEXT(ROW(C106),"000")</f>
        <v>Ord-09-23-106</v>
      </c>
      <c r="D1473" s="6" t="s">
        <v>15</v>
      </c>
      <c r="E1473" s="10" t="s">
        <v>35</v>
      </c>
      <c r="F1473" s="12" t="s">
        <v>90</v>
      </c>
      <c r="G1473" s="10" t="s">
        <v>79</v>
      </c>
      <c r="H1473" s="10">
        <v>4800</v>
      </c>
      <c r="I1473" s="6">
        <v>4</v>
      </c>
      <c r="J1473" s="6">
        <f>H1473*I1473</f>
        <v>19200</v>
      </c>
    </row>
    <row r="1474" spans="2:10" ht="20.100000000000001" customHeight="1" x14ac:dyDescent="0.25">
      <c r="B1474" s="5">
        <v>45190</v>
      </c>
      <c r="C1474" s="8" t="str">
        <f>"Ord-09-23-"&amp;TEXT(ROW(C107),"000")</f>
        <v>Ord-09-23-107</v>
      </c>
      <c r="D1474" s="6" t="s">
        <v>26</v>
      </c>
      <c r="E1474" s="10" t="s">
        <v>32</v>
      </c>
      <c r="F1474" s="10" t="s">
        <v>44</v>
      </c>
      <c r="G1474" s="10" t="s">
        <v>87</v>
      </c>
      <c r="H1474" s="10">
        <v>1500</v>
      </c>
      <c r="I1474" s="6">
        <v>1</v>
      </c>
      <c r="J1474" s="6">
        <f>H1474*I1474</f>
        <v>1500</v>
      </c>
    </row>
    <row r="1475" spans="2:10" ht="20.100000000000001" customHeight="1" x14ac:dyDescent="0.25">
      <c r="B1475" s="5">
        <v>45190</v>
      </c>
      <c r="C1475" s="8" t="str">
        <f>"Ord-09-23-"&amp;TEXT(ROW(C108),"000")</f>
        <v>Ord-09-23-108</v>
      </c>
      <c r="D1475" s="6" t="s">
        <v>18</v>
      </c>
      <c r="E1475" s="10" t="s">
        <v>33</v>
      </c>
      <c r="F1475" s="10" t="s">
        <v>46</v>
      </c>
      <c r="G1475" s="10" t="s">
        <v>65</v>
      </c>
      <c r="H1475" s="10">
        <v>15</v>
      </c>
      <c r="I1475" s="6">
        <v>300</v>
      </c>
      <c r="J1475" s="6">
        <f>H1475*I1475</f>
        <v>4500</v>
      </c>
    </row>
    <row r="1476" spans="2:10" ht="20.100000000000001" customHeight="1" x14ac:dyDescent="0.25">
      <c r="B1476" s="5">
        <v>45190</v>
      </c>
      <c r="C1476" s="8" t="str">
        <f>"Ord-09-23-"&amp;TEXT(ROW(C109),"000")</f>
        <v>Ord-09-23-109</v>
      </c>
      <c r="D1476" s="6" t="s">
        <v>20</v>
      </c>
      <c r="E1476" s="10" t="s">
        <v>30</v>
      </c>
      <c r="F1476" s="10" t="s">
        <v>90</v>
      </c>
      <c r="G1476" s="10" t="s">
        <v>86</v>
      </c>
      <c r="H1476" s="10">
        <v>7500</v>
      </c>
      <c r="I1476" s="6">
        <v>3</v>
      </c>
      <c r="J1476" s="6">
        <f>H1476*I1476</f>
        <v>22500</v>
      </c>
    </row>
    <row r="1477" spans="2:10" ht="20.100000000000001" customHeight="1" x14ac:dyDescent="0.25">
      <c r="B1477" s="5">
        <v>45190</v>
      </c>
      <c r="C1477" s="8" t="str">
        <f>"Ord-09-23-"&amp;TEXT(ROW(C110),"000")</f>
        <v>Ord-09-23-110</v>
      </c>
      <c r="D1477" s="6" t="s">
        <v>7</v>
      </c>
      <c r="E1477" s="10" t="s">
        <v>34</v>
      </c>
      <c r="F1477" s="10" t="s">
        <v>49</v>
      </c>
      <c r="G1477" s="10" t="s">
        <v>75</v>
      </c>
      <c r="H1477" s="10">
        <v>4300</v>
      </c>
      <c r="I1477" s="6">
        <v>3</v>
      </c>
      <c r="J1477" s="6">
        <f>H1477*I1477</f>
        <v>12900</v>
      </c>
    </row>
    <row r="1478" spans="2:10" ht="20.100000000000001" customHeight="1" x14ac:dyDescent="0.25">
      <c r="B1478" s="5">
        <v>45191</v>
      </c>
      <c r="C1478" s="8" t="str">
        <f>"Ord-09-23-"&amp;TEXT(ROW(C111),"000")</f>
        <v>Ord-09-23-111</v>
      </c>
      <c r="D1478" s="6" t="s">
        <v>9</v>
      </c>
      <c r="E1478" s="10" t="s">
        <v>32</v>
      </c>
      <c r="F1478" s="10" t="s">
        <v>51</v>
      </c>
      <c r="G1478" s="10" t="s">
        <v>83</v>
      </c>
      <c r="H1478" s="10">
        <v>4000</v>
      </c>
      <c r="I1478" s="6">
        <v>4</v>
      </c>
      <c r="J1478" s="6">
        <f>H1478*I1478</f>
        <v>16000</v>
      </c>
    </row>
    <row r="1479" spans="2:10" ht="20.100000000000001" customHeight="1" x14ac:dyDescent="0.25">
      <c r="B1479" s="5">
        <v>45191</v>
      </c>
      <c r="C1479" s="8" t="str">
        <f>"Ord-09-23-"&amp;TEXT(ROW(C112),"000")</f>
        <v>Ord-09-23-112</v>
      </c>
      <c r="D1479" s="6" t="s">
        <v>19</v>
      </c>
      <c r="E1479" s="10" t="s">
        <v>33</v>
      </c>
      <c r="F1479" s="10" t="s">
        <v>47</v>
      </c>
      <c r="G1479" s="10" t="s">
        <v>65</v>
      </c>
      <c r="H1479" s="10">
        <v>25</v>
      </c>
      <c r="I1479" s="7">
        <v>100</v>
      </c>
      <c r="J1479" s="6">
        <f>H1479*I1479</f>
        <v>2500</v>
      </c>
    </row>
    <row r="1480" spans="2:10" ht="20.100000000000001" customHeight="1" x14ac:dyDescent="0.25">
      <c r="B1480" s="5">
        <v>45191</v>
      </c>
      <c r="C1480" s="8" t="str">
        <f>"Ord-09-23-"&amp;TEXT(ROW(C113),"000")</f>
        <v>Ord-09-23-113</v>
      </c>
      <c r="D1480" s="6" t="s">
        <v>24</v>
      </c>
      <c r="E1480" s="10" t="s">
        <v>31</v>
      </c>
      <c r="F1480" s="10" t="s">
        <v>43</v>
      </c>
      <c r="G1480" s="10" t="s">
        <v>69</v>
      </c>
      <c r="H1480" s="10">
        <v>4900</v>
      </c>
      <c r="I1480" s="6">
        <v>2</v>
      </c>
      <c r="J1480" s="6">
        <f>H1480*I1480</f>
        <v>9800</v>
      </c>
    </row>
    <row r="1481" spans="2:10" ht="20.100000000000001" customHeight="1" x14ac:dyDescent="0.25">
      <c r="B1481" s="5">
        <v>45191</v>
      </c>
      <c r="C1481" s="8" t="str">
        <f>"Ord-09-23-"&amp;TEXT(ROW(C114),"000")</f>
        <v>Ord-09-23-114</v>
      </c>
      <c r="D1481" s="6" t="s">
        <v>19</v>
      </c>
      <c r="E1481" s="10" t="s">
        <v>31</v>
      </c>
      <c r="F1481" s="10" t="s">
        <v>52</v>
      </c>
      <c r="G1481" s="10" t="s">
        <v>82</v>
      </c>
      <c r="H1481" s="10">
        <v>5000</v>
      </c>
      <c r="I1481" s="6">
        <v>2</v>
      </c>
      <c r="J1481" s="6">
        <f>H1481*I1481</f>
        <v>10000</v>
      </c>
    </row>
    <row r="1482" spans="2:10" ht="20.100000000000001" customHeight="1" x14ac:dyDescent="0.25">
      <c r="B1482" s="5">
        <v>45191</v>
      </c>
      <c r="C1482" s="8" t="str">
        <f>"Ord-09-23-"&amp;TEXT(ROW(C115),"000")</f>
        <v>Ord-09-23-115</v>
      </c>
      <c r="D1482" s="6" t="s">
        <v>24</v>
      </c>
      <c r="E1482" s="10" t="s">
        <v>31</v>
      </c>
      <c r="F1482" s="10" t="s">
        <v>48</v>
      </c>
      <c r="G1482" s="10" t="s">
        <v>67</v>
      </c>
      <c r="H1482" s="10">
        <v>8000</v>
      </c>
      <c r="I1482" s="6">
        <v>1</v>
      </c>
      <c r="J1482" s="6">
        <f>H1482*I1482</f>
        <v>8000</v>
      </c>
    </row>
    <row r="1483" spans="2:10" ht="20.100000000000001" customHeight="1" x14ac:dyDescent="0.25">
      <c r="B1483" s="5">
        <v>45192</v>
      </c>
      <c r="C1483" s="8" t="str">
        <f>"Ord-09-23-"&amp;TEXT(ROW(C116),"000")</f>
        <v>Ord-09-23-116</v>
      </c>
      <c r="D1483" s="6" t="s">
        <v>26</v>
      </c>
      <c r="E1483" s="10" t="s">
        <v>35</v>
      </c>
      <c r="F1483" s="12" t="s">
        <v>90</v>
      </c>
      <c r="G1483" s="10" t="s">
        <v>58</v>
      </c>
      <c r="H1483" s="10">
        <v>7500</v>
      </c>
      <c r="I1483" s="6">
        <v>4</v>
      </c>
      <c r="J1483" s="6">
        <f>H1483*I1483</f>
        <v>30000</v>
      </c>
    </row>
    <row r="1484" spans="2:10" ht="20.100000000000001" customHeight="1" x14ac:dyDescent="0.25">
      <c r="B1484" s="5">
        <v>45192</v>
      </c>
      <c r="C1484" s="8" t="str">
        <f>"Ord-09-23-"&amp;TEXT(ROW(C117),"000")</f>
        <v>Ord-09-23-117</v>
      </c>
      <c r="D1484" s="6" t="s">
        <v>21</v>
      </c>
      <c r="E1484" s="10" t="s">
        <v>31</v>
      </c>
      <c r="F1484" s="10" t="s">
        <v>45</v>
      </c>
      <c r="G1484" s="10" t="s">
        <v>63</v>
      </c>
      <c r="H1484" s="10">
        <v>1800</v>
      </c>
      <c r="I1484" s="6">
        <v>1</v>
      </c>
      <c r="J1484" s="6">
        <f>H1484*I1484</f>
        <v>1800</v>
      </c>
    </row>
    <row r="1485" spans="2:10" ht="20.100000000000001" customHeight="1" x14ac:dyDescent="0.25">
      <c r="B1485" s="5">
        <v>45192</v>
      </c>
      <c r="C1485" s="8" t="str">
        <f>"Ord-09-23-"&amp;TEXT(ROW(C118),"000")</f>
        <v>Ord-09-23-118</v>
      </c>
      <c r="D1485" s="6" t="s">
        <v>19</v>
      </c>
      <c r="E1485" s="10" t="s">
        <v>29</v>
      </c>
      <c r="F1485" s="10" t="s">
        <v>39</v>
      </c>
      <c r="G1485" s="10" t="s">
        <v>60</v>
      </c>
      <c r="H1485" s="10">
        <v>1500</v>
      </c>
      <c r="I1485" s="6">
        <v>5</v>
      </c>
      <c r="J1485" s="6">
        <f>H1485*I1485</f>
        <v>7500</v>
      </c>
    </row>
    <row r="1486" spans="2:10" ht="20.100000000000001" customHeight="1" x14ac:dyDescent="0.25">
      <c r="B1486" s="5">
        <v>45192</v>
      </c>
      <c r="C1486" s="8" t="str">
        <f>"Ord-09-23-"&amp;TEXT(ROW(C119),"000")</f>
        <v>Ord-09-23-119</v>
      </c>
      <c r="D1486" s="6" t="s">
        <v>16</v>
      </c>
      <c r="E1486" s="10" t="s">
        <v>27</v>
      </c>
      <c r="F1486" s="10" t="s">
        <v>42</v>
      </c>
      <c r="G1486" s="10" t="s">
        <v>42</v>
      </c>
      <c r="H1486" s="10">
        <v>2500</v>
      </c>
      <c r="I1486" s="6">
        <v>1</v>
      </c>
      <c r="J1486" s="6">
        <f>H1486*I1486</f>
        <v>2500</v>
      </c>
    </row>
    <row r="1487" spans="2:10" ht="20.100000000000001" customHeight="1" x14ac:dyDescent="0.25">
      <c r="B1487" s="5">
        <v>45192</v>
      </c>
      <c r="C1487" s="8" t="str">
        <f>"Ord-09-23-"&amp;TEXT(ROW(C120),"000")</f>
        <v>Ord-09-23-120</v>
      </c>
      <c r="D1487" s="6" t="s">
        <v>9</v>
      </c>
      <c r="E1487" s="10" t="s">
        <v>27</v>
      </c>
      <c r="F1487" s="10" t="s">
        <v>37</v>
      </c>
      <c r="G1487" s="10" t="s">
        <v>53</v>
      </c>
      <c r="H1487" s="10">
        <v>5200</v>
      </c>
      <c r="I1487" s="6">
        <v>1</v>
      </c>
      <c r="J1487" s="6">
        <f>H1487*I1487</f>
        <v>5200</v>
      </c>
    </row>
    <row r="1488" spans="2:10" ht="20.100000000000001" customHeight="1" x14ac:dyDescent="0.25">
      <c r="B1488" s="5">
        <v>45193</v>
      </c>
      <c r="C1488" s="8" t="str">
        <f>"Ord-09-23-"&amp;TEXT(ROW(C121),"000")</f>
        <v>Ord-09-23-121</v>
      </c>
      <c r="D1488" s="6" t="s">
        <v>7</v>
      </c>
      <c r="E1488" s="10" t="s">
        <v>35</v>
      </c>
      <c r="F1488" s="12" t="s">
        <v>90</v>
      </c>
      <c r="G1488" s="10" t="s">
        <v>71</v>
      </c>
      <c r="H1488" s="10">
        <v>5500</v>
      </c>
      <c r="I1488" s="6">
        <v>1</v>
      </c>
      <c r="J1488" s="6">
        <f>H1488*I1488</f>
        <v>5500</v>
      </c>
    </row>
    <row r="1489" spans="2:10" ht="20.100000000000001" customHeight="1" x14ac:dyDescent="0.25">
      <c r="B1489" s="5">
        <v>45193</v>
      </c>
      <c r="C1489" s="8" t="str">
        <f>"Ord-09-23-"&amp;TEXT(ROW(C122),"000")</f>
        <v>Ord-09-23-122</v>
      </c>
      <c r="D1489" s="6" t="s">
        <v>25</v>
      </c>
      <c r="E1489" s="10" t="s">
        <v>28</v>
      </c>
      <c r="F1489" s="10" t="s">
        <v>28</v>
      </c>
      <c r="G1489" s="10" t="s">
        <v>71</v>
      </c>
      <c r="H1489" s="10">
        <v>850</v>
      </c>
      <c r="I1489" s="6">
        <v>3</v>
      </c>
      <c r="J1489" s="6">
        <f>H1489*I1489</f>
        <v>2550</v>
      </c>
    </row>
    <row r="1490" spans="2:10" ht="20.100000000000001" customHeight="1" x14ac:dyDescent="0.25">
      <c r="B1490" s="5">
        <v>45193</v>
      </c>
      <c r="C1490" s="8" t="str">
        <f>"Ord-09-23-"&amp;TEXT(ROW(C123),"000")</f>
        <v>Ord-09-23-123</v>
      </c>
      <c r="D1490" s="6" t="s">
        <v>12</v>
      </c>
      <c r="E1490" s="10" t="s">
        <v>33</v>
      </c>
      <c r="F1490" s="10" t="s">
        <v>47</v>
      </c>
      <c r="G1490" s="10" t="s">
        <v>65</v>
      </c>
      <c r="H1490" s="10">
        <v>25</v>
      </c>
      <c r="I1490" s="6">
        <v>1000</v>
      </c>
      <c r="J1490" s="6">
        <f>H1490*I1490</f>
        <v>25000</v>
      </c>
    </row>
    <row r="1491" spans="2:10" ht="20.100000000000001" customHeight="1" x14ac:dyDescent="0.25">
      <c r="B1491" s="5">
        <v>45193</v>
      </c>
      <c r="C1491" s="8" t="str">
        <f>"Ord-09-23-"&amp;TEXT(ROW(C124),"000")</f>
        <v>Ord-09-23-124</v>
      </c>
      <c r="D1491" s="6" t="s">
        <v>21</v>
      </c>
      <c r="E1491" s="10" t="s">
        <v>31</v>
      </c>
      <c r="F1491" s="10" t="s">
        <v>52</v>
      </c>
      <c r="G1491" s="10" t="s">
        <v>67</v>
      </c>
      <c r="H1491" s="10">
        <v>4000</v>
      </c>
      <c r="I1491" s="6">
        <v>1</v>
      </c>
      <c r="J1491" s="6">
        <f>H1491*I1491</f>
        <v>4000</v>
      </c>
    </row>
    <row r="1492" spans="2:10" ht="20.100000000000001" customHeight="1" x14ac:dyDescent="0.25">
      <c r="B1492" s="5">
        <v>45193</v>
      </c>
      <c r="C1492" s="8" t="str">
        <f>"Ord-09-23-"&amp;TEXT(ROW(C125),"000")</f>
        <v>Ord-09-23-125</v>
      </c>
      <c r="D1492" s="6" t="s">
        <v>22</v>
      </c>
      <c r="E1492" s="10" t="s">
        <v>27</v>
      </c>
      <c r="F1492" s="10" t="s">
        <v>50</v>
      </c>
      <c r="G1492" s="10" t="s">
        <v>64</v>
      </c>
      <c r="H1492" s="10">
        <v>3000</v>
      </c>
      <c r="I1492" s="6">
        <v>1</v>
      </c>
      <c r="J1492" s="6">
        <f>H1492*I1492</f>
        <v>3000</v>
      </c>
    </row>
    <row r="1493" spans="2:10" ht="20.100000000000001" customHeight="1" x14ac:dyDescent="0.25">
      <c r="B1493" s="5">
        <v>45194</v>
      </c>
      <c r="C1493" s="8" t="str">
        <f>"Ord-09-23-"&amp;TEXT(ROW(C126),"000")</f>
        <v>Ord-09-23-126</v>
      </c>
      <c r="D1493" s="6" t="s">
        <v>18</v>
      </c>
      <c r="E1493" s="10" t="s">
        <v>35</v>
      </c>
      <c r="F1493" s="12" t="s">
        <v>90</v>
      </c>
      <c r="G1493" s="10" t="s">
        <v>77</v>
      </c>
      <c r="H1493" s="10">
        <v>8500</v>
      </c>
      <c r="I1493" s="6">
        <v>1</v>
      </c>
      <c r="J1493" s="6">
        <f>H1493*I1493</f>
        <v>8500</v>
      </c>
    </row>
    <row r="1494" spans="2:10" ht="20.100000000000001" customHeight="1" x14ac:dyDescent="0.25">
      <c r="B1494" s="5">
        <v>45194</v>
      </c>
      <c r="C1494" s="8" t="str">
        <f>"Ord-09-23-"&amp;TEXT(ROW(C127),"000")</f>
        <v>Ord-09-23-127</v>
      </c>
      <c r="D1494" s="6" t="s">
        <v>26</v>
      </c>
      <c r="E1494" s="10" t="s">
        <v>32</v>
      </c>
      <c r="F1494" s="10" t="s">
        <v>51</v>
      </c>
      <c r="G1494" s="10" t="s">
        <v>81</v>
      </c>
      <c r="H1494" s="10">
        <v>3000</v>
      </c>
      <c r="I1494" s="6">
        <v>3</v>
      </c>
      <c r="J1494" s="6">
        <f>H1494*I1494</f>
        <v>9000</v>
      </c>
    </row>
    <row r="1495" spans="2:10" ht="20.100000000000001" customHeight="1" x14ac:dyDescent="0.25">
      <c r="B1495" s="5">
        <v>45194</v>
      </c>
      <c r="C1495" s="8" t="str">
        <f>"Ord-09-23-"&amp;TEXT(ROW(C128),"000")</f>
        <v>Ord-09-23-128</v>
      </c>
      <c r="D1495" s="6" t="s">
        <v>22</v>
      </c>
      <c r="E1495" s="10" t="s">
        <v>33</v>
      </c>
      <c r="F1495" s="10" t="s">
        <v>47</v>
      </c>
      <c r="G1495" s="10" t="s">
        <v>65</v>
      </c>
      <c r="H1495" s="10">
        <v>25</v>
      </c>
      <c r="I1495" s="6">
        <v>250</v>
      </c>
      <c r="J1495" s="6">
        <f>H1495*I1495</f>
        <v>6250</v>
      </c>
    </row>
    <row r="1496" spans="2:10" ht="20.100000000000001" customHeight="1" x14ac:dyDescent="0.25">
      <c r="B1496" s="5">
        <v>45194</v>
      </c>
      <c r="C1496" s="8" t="str">
        <f>"Ord-09-23-"&amp;TEXT(ROW(C129),"000")</f>
        <v>Ord-09-23-129</v>
      </c>
      <c r="D1496" s="6" t="s">
        <v>13</v>
      </c>
      <c r="E1496" s="10" t="s">
        <v>33</v>
      </c>
      <c r="F1496" s="10" t="s">
        <v>47</v>
      </c>
      <c r="G1496" s="10" t="s">
        <v>65</v>
      </c>
      <c r="H1496" s="10">
        <v>25</v>
      </c>
      <c r="I1496" s="6">
        <v>500</v>
      </c>
      <c r="J1496" s="6">
        <f>H1496*I1496</f>
        <v>12500</v>
      </c>
    </row>
    <row r="1497" spans="2:10" ht="20.100000000000001" customHeight="1" x14ac:dyDescent="0.25">
      <c r="B1497" s="5">
        <v>45194</v>
      </c>
      <c r="C1497" s="8" t="str">
        <f>"Ord-09-23-"&amp;TEXT(ROW(C130),"000")</f>
        <v>Ord-09-23-130</v>
      </c>
      <c r="D1497" s="6" t="s">
        <v>24</v>
      </c>
      <c r="E1497" s="10" t="s">
        <v>33</v>
      </c>
      <c r="F1497" s="10" t="s">
        <v>46</v>
      </c>
      <c r="G1497" s="10" t="s">
        <v>65</v>
      </c>
      <c r="H1497" s="10">
        <v>15</v>
      </c>
      <c r="I1497" s="6">
        <v>180</v>
      </c>
      <c r="J1497" s="6">
        <f>H1497*I1497</f>
        <v>2700</v>
      </c>
    </row>
    <row r="1498" spans="2:10" ht="20.100000000000001" customHeight="1" x14ac:dyDescent="0.25">
      <c r="B1498" s="5">
        <v>45195</v>
      </c>
      <c r="C1498" s="8" t="str">
        <f>"Ord-09-23-"&amp;TEXT(ROW(C131),"000")</f>
        <v>Ord-09-23-131</v>
      </c>
      <c r="D1498" s="6" t="s">
        <v>25</v>
      </c>
      <c r="E1498" s="10" t="s">
        <v>33</v>
      </c>
      <c r="F1498" s="10" t="s">
        <v>46</v>
      </c>
      <c r="G1498" s="10" t="s">
        <v>65</v>
      </c>
      <c r="H1498" s="10">
        <v>15</v>
      </c>
      <c r="I1498" s="6">
        <v>250</v>
      </c>
      <c r="J1498" s="6">
        <f>H1498*I1498</f>
        <v>3750</v>
      </c>
    </row>
    <row r="1499" spans="2:10" ht="20.100000000000001" customHeight="1" x14ac:dyDescent="0.25">
      <c r="B1499" s="5">
        <v>45195</v>
      </c>
      <c r="C1499" s="8" t="str">
        <f>"Ord-09-23-"&amp;TEXT(ROW(C132),"000")</f>
        <v>Ord-09-23-132</v>
      </c>
      <c r="D1499" s="6" t="s">
        <v>21</v>
      </c>
      <c r="E1499" s="10" t="s">
        <v>31</v>
      </c>
      <c r="F1499" s="10" t="s">
        <v>45</v>
      </c>
      <c r="G1499" s="10" t="s">
        <v>63</v>
      </c>
      <c r="H1499" s="10">
        <v>1800</v>
      </c>
      <c r="I1499" s="6">
        <v>2</v>
      </c>
      <c r="J1499" s="6">
        <f>H1499*I1499</f>
        <v>3600</v>
      </c>
    </row>
    <row r="1500" spans="2:10" ht="20.100000000000001" customHeight="1" x14ac:dyDescent="0.25">
      <c r="B1500" s="5">
        <v>45195</v>
      </c>
      <c r="C1500" s="8" t="str">
        <f>"Ord-09-23-"&amp;TEXT(ROW(C133),"000")</f>
        <v>Ord-09-23-133</v>
      </c>
      <c r="D1500" s="6" t="s">
        <v>10</v>
      </c>
      <c r="E1500" s="10" t="s">
        <v>31</v>
      </c>
      <c r="F1500" s="10" t="s">
        <v>45</v>
      </c>
      <c r="G1500" s="10" t="s">
        <v>63</v>
      </c>
      <c r="H1500" s="10">
        <v>1800</v>
      </c>
      <c r="I1500" s="6">
        <v>3</v>
      </c>
      <c r="J1500" s="6">
        <f>H1500*I1500</f>
        <v>5400</v>
      </c>
    </row>
    <row r="1501" spans="2:10" ht="20.100000000000001" customHeight="1" x14ac:dyDescent="0.25">
      <c r="B1501" s="5">
        <v>45195</v>
      </c>
      <c r="C1501" s="8" t="str">
        <f>"Ord-09-23-"&amp;TEXT(ROW(C134),"000")</f>
        <v>Ord-09-23-134</v>
      </c>
      <c r="D1501" s="6" t="s">
        <v>7</v>
      </c>
      <c r="E1501" s="10" t="s">
        <v>27</v>
      </c>
      <c r="F1501" s="10" t="s">
        <v>42</v>
      </c>
      <c r="G1501" s="10" t="s">
        <v>42</v>
      </c>
      <c r="H1501" s="10">
        <v>2500</v>
      </c>
      <c r="I1501" s="6">
        <v>2</v>
      </c>
      <c r="J1501" s="6">
        <f>H1501*I1501</f>
        <v>5000</v>
      </c>
    </row>
    <row r="1502" spans="2:10" ht="20.100000000000001" customHeight="1" x14ac:dyDescent="0.25">
      <c r="B1502" s="5">
        <v>45195</v>
      </c>
      <c r="C1502" s="8" t="str">
        <f>"Ord-09-23-"&amp;TEXT(ROW(C135),"000")</f>
        <v>Ord-09-23-135</v>
      </c>
      <c r="D1502" s="6" t="s">
        <v>7</v>
      </c>
      <c r="E1502" s="10" t="s">
        <v>27</v>
      </c>
      <c r="F1502" s="10" t="s">
        <v>50</v>
      </c>
      <c r="G1502" s="10" t="s">
        <v>64</v>
      </c>
      <c r="H1502" s="10">
        <v>3000</v>
      </c>
      <c r="I1502" s="6">
        <v>4</v>
      </c>
      <c r="J1502" s="6">
        <f>H1502*I1502</f>
        <v>12000</v>
      </c>
    </row>
    <row r="1503" spans="2:10" ht="20.100000000000001" customHeight="1" x14ac:dyDescent="0.25">
      <c r="B1503" s="5">
        <v>45196</v>
      </c>
      <c r="C1503" s="8" t="str">
        <f>"Ord-09-23-"&amp;TEXT(ROW(C136),"000")</f>
        <v>Ord-09-23-136</v>
      </c>
      <c r="D1503" s="6" t="s">
        <v>11</v>
      </c>
      <c r="E1503" s="10" t="s">
        <v>32</v>
      </c>
      <c r="F1503" s="10" t="s">
        <v>44</v>
      </c>
      <c r="G1503" s="10" t="s">
        <v>62</v>
      </c>
      <c r="H1503" s="10">
        <v>1200</v>
      </c>
      <c r="I1503" s="6">
        <v>2</v>
      </c>
      <c r="J1503" s="6">
        <f>H1503*I1503</f>
        <v>2400</v>
      </c>
    </row>
    <row r="1504" spans="2:10" ht="20.100000000000001" customHeight="1" x14ac:dyDescent="0.25">
      <c r="B1504" s="5">
        <v>45196</v>
      </c>
      <c r="C1504" s="8" t="str">
        <f>"Ord-09-23-"&amp;TEXT(ROW(C137),"000")</f>
        <v>Ord-09-23-137</v>
      </c>
      <c r="D1504" s="6" t="s">
        <v>9</v>
      </c>
      <c r="E1504" s="10" t="s">
        <v>33</v>
      </c>
      <c r="F1504" s="10" t="s">
        <v>47</v>
      </c>
      <c r="G1504" s="10" t="s">
        <v>65</v>
      </c>
      <c r="H1504" s="10">
        <v>25</v>
      </c>
      <c r="I1504" s="6">
        <v>400</v>
      </c>
      <c r="J1504" s="6">
        <f>H1504*I1504</f>
        <v>10000</v>
      </c>
    </row>
    <row r="1505" spans="2:10" ht="20.100000000000001" customHeight="1" x14ac:dyDescent="0.25">
      <c r="B1505" s="5">
        <v>45196</v>
      </c>
      <c r="C1505" s="8" t="str">
        <f>"Ord-09-23-"&amp;TEXT(ROW(C138),"000")</f>
        <v>Ord-09-23-138</v>
      </c>
      <c r="D1505" s="6" t="s">
        <v>19</v>
      </c>
      <c r="E1505" s="10" t="s">
        <v>31</v>
      </c>
      <c r="F1505" s="10" t="s">
        <v>45</v>
      </c>
      <c r="G1505" s="10" t="s">
        <v>66</v>
      </c>
      <c r="H1505" s="10">
        <v>2300</v>
      </c>
      <c r="I1505" s="6">
        <v>2</v>
      </c>
      <c r="J1505" s="6">
        <f>H1505*I1505</f>
        <v>4600</v>
      </c>
    </row>
    <row r="1506" spans="2:10" ht="20.100000000000001" customHeight="1" x14ac:dyDescent="0.25">
      <c r="B1506" s="5">
        <v>45196</v>
      </c>
      <c r="C1506" s="8" t="str">
        <f>"Ord-09-23-"&amp;TEXT(ROW(C139),"000")</f>
        <v>Ord-09-23-139</v>
      </c>
      <c r="D1506" s="6" t="s">
        <v>12</v>
      </c>
      <c r="E1506" s="10" t="s">
        <v>27</v>
      </c>
      <c r="F1506" s="10" t="s">
        <v>37</v>
      </c>
      <c r="G1506" s="10" t="s">
        <v>53</v>
      </c>
      <c r="H1506" s="10">
        <v>5200</v>
      </c>
      <c r="I1506" s="6">
        <v>1</v>
      </c>
      <c r="J1506" s="6">
        <f>H1506*I1506</f>
        <v>5200</v>
      </c>
    </row>
    <row r="1507" spans="2:10" ht="20.100000000000001" customHeight="1" x14ac:dyDescent="0.25">
      <c r="B1507" s="5">
        <v>45196</v>
      </c>
      <c r="C1507" s="8" t="str">
        <f>"Ord-09-23-"&amp;TEXT(ROW(C140),"000")</f>
        <v>Ord-09-23-140</v>
      </c>
      <c r="D1507" s="6" t="s">
        <v>12</v>
      </c>
      <c r="E1507" s="10" t="s">
        <v>27</v>
      </c>
      <c r="F1507" s="10" t="s">
        <v>41</v>
      </c>
      <c r="G1507" s="10" t="s">
        <v>54</v>
      </c>
      <c r="H1507" s="10">
        <v>2800</v>
      </c>
      <c r="I1507" s="6">
        <v>5</v>
      </c>
      <c r="J1507" s="6">
        <f>H1507*I1507</f>
        <v>14000</v>
      </c>
    </row>
    <row r="1508" spans="2:10" ht="20.100000000000001" customHeight="1" x14ac:dyDescent="0.25">
      <c r="B1508" s="5">
        <v>45197</v>
      </c>
      <c r="C1508" s="8" t="str">
        <f>"Ord-09-23-"&amp;TEXT(ROW(C141),"000")</f>
        <v>Ord-09-23-141</v>
      </c>
      <c r="D1508" s="6" t="s">
        <v>11</v>
      </c>
      <c r="E1508" s="10" t="s">
        <v>33</v>
      </c>
      <c r="F1508" s="10" t="s">
        <v>47</v>
      </c>
      <c r="G1508" s="10" t="s">
        <v>65</v>
      </c>
      <c r="H1508" s="10">
        <v>25</v>
      </c>
      <c r="I1508" s="6">
        <v>370</v>
      </c>
      <c r="J1508" s="6">
        <f>H1508*I1508</f>
        <v>9250</v>
      </c>
    </row>
    <row r="1509" spans="2:10" ht="20.100000000000001" customHeight="1" x14ac:dyDescent="0.25">
      <c r="B1509" s="5">
        <v>45197</v>
      </c>
      <c r="C1509" s="8" t="str">
        <f>"Ord-09-23-"&amp;TEXT(ROW(C142),"000")</f>
        <v>Ord-09-23-142</v>
      </c>
      <c r="D1509" s="6" t="s">
        <v>22</v>
      </c>
      <c r="E1509" s="10" t="s">
        <v>33</v>
      </c>
      <c r="F1509" s="10" t="s">
        <v>46</v>
      </c>
      <c r="G1509" s="10" t="s">
        <v>65</v>
      </c>
      <c r="H1509" s="10">
        <v>15</v>
      </c>
      <c r="I1509" s="6">
        <v>1000</v>
      </c>
      <c r="J1509" s="6">
        <f>H1509*I1509</f>
        <v>15000</v>
      </c>
    </row>
    <row r="1510" spans="2:10" ht="20.100000000000001" customHeight="1" x14ac:dyDescent="0.25">
      <c r="B1510" s="5">
        <v>45197</v>
      </c>
      <c r="C1510" s="8" t="str">
        <f>"Ord-09-23-"&amp;TEXT(ROW(C143),"000")</f>
        <v>Ord-09-23-143</v>
      </c>
      <c r="D1510" s="6" t="s">
        <v>10</v>
      </c>
      <c r="E1510" s="10" t="s">
        <v>31</v>
      </c>
      <c r="F1510" s="10" t="s">
        <v>43</v>
      </c>
      <c r="G1510" s="10" t="s">
        <v>69</v>
      </c>
      <c r="H1510" s="10">
        <v>4900</v>
      </c>
      <c r="I1510" s="6">
        <v>1</v>
      </c>
      <c r="J1510" s="6">
        <f>H1510*I1510</f>
        <v>4900</v>
      </c>
    </row>
    <row r="1511" spans="2:10" ht="20.100000000000001" customHeight="1" x14ac:dyDescent="0.25">
      <c r="B1511" s="5">
        <v>45197</v>
      </c>
      <c r="C1511" s="8" t="str">
        <f>"Ord-09-23-"&amp;TEXT(ROW(C144),"000")</f>
        <v>Ord-09-23-144</v>
      </c>
      <c r="D1511" s="6" t="s">
        <v>18</v>
      </c>
      <c r="E1511" s="10" t="s">
        <v>31</v>
      </c>
      <c r="F1511" s="10" t="s">
        <v>45</v>
      </c>
      <c r="G1511" s="10" t="s">
        <v>66</v>
      </c>
      <c r="H1511" s="10">
        <v>2300</v>
      </c>
      <c r="I1511" s="6">
        <v>1</v>
      </c>
      <c r="J1511" s="6">
        <f>H1511*I1511</f>
        <v>2300</v>
      </c>
    </row>
    <row r="1512" spans="2:10" ht="20.100000000000001" customHeight="1" x14ac:dyDescent="0.25">
      <c r="B1512" s="5">
        <v>45197</v>
      </c>
      <c r="C1512" s="8" t="str">
        <f>"Ord-09-23-"&amp;TEXT(ROW(C145),"000")</f>
        <v>Ord-09-23-145</v>
      </c>
      <c r="D1512" s="6" t="s">
        <v>16</v>
      </c>
      <c r="E1512" s="10" t="s">
        <v>31</v>
      </c>
      <c r="F1512" s="10" t="s">
        <v>48</v>
      </c>
      <c r="G1512" s="10" t="s">
        <v>66</v>
      </c>
      <c r="H1512" s="10">
        <v>3500</v>
      </c>
      <c r="I1512" s="6">
        <v>1</v>
      </c>
      <c r="J1512" s="6">
        <f>H1512*I1512</f>
        <v>3500</v>
      </c>
    </row>
    <row r="1513" spans="2:10" ht="20.100000000000001" customHeight="1" x14ac:dyDescent="0.25">
      <c r="B1513" s="5">
        <v>45198</v>
      </c>
      <c r="C1513" s="8" t="str">
        <f>"Ord-09-23-"&amp;TEXT(ROW(C146),"000")</f>
        <v>Ord-09-23-146</v>
      </c>
      <c r="D1513" s="6" t="s">
        <v>19</v>
      </c>
      <c r="E1513" s="10" t="s">
        <v>35</v>
      </c>
      <c r="F1513" s="12" t="s">
        <v>90</v>
      </c>
      <c r="G1513" s="10" t="s">
        <v>55</v>
      </c>
      <c r="H1513" s="10">
        <v>5000</v>
      </c>
      <c r="I1513" s="6">
        <v>1</v>
      </c>
      <c r="J1513" s="6">
        <f>H1513*I1513</f>
        <v>5000</v>
      </c>
    </row>
    <row r="1514" spans="2:10" ht="20.100000000000001" customHeight="1" x14ac:dyDescent="0.25">
      <c r="B1514" s="5">
        <v>45198</v>
      </c>
      <c r="C1514" s="8" t="str">
        <f>"Ord-09-23-"&amp;TEXT(ROW(C147),"000")</f>
        <v>Ord-09-23-147</v>
      </c>
      <c r="D1514" s="6" t="s">
        <v>12</v>
      </c>
      <c r="E1514" s="10" t="s">
        <v>31</v>
      </c>
      <c r="F1514" s="10" t="s">
        <v>43</v>
      </c>
      <c r="G1514" s="10" t="s">
        <v>76</v>
      </c>
      <c r="H1514" s="10">
        <v>4800</v>
      </c>
      <c r="I1514" s="6">
        <v>3</v>
      </c>
      <c r="J1514" s="6">
        <f>H1514*I1514</f>
        <v>14400</v>
      </c>
    </row>
    <row r="1515" spans="2:10" ht="20.100000000000001" customHeight="1" x14ac:dyDescent="0.25">
      <c r="B1515" s="5">
        <v>45198</v>
      </c>
      <c r="C1515" s="8" t="str">
        <f>"Ord-09-23-"&amp;TEXT(ROW(C148),"000")</f>
        <v>Ord-09-23-148</v>
      </c>
      <c r="D1515" s="6" t="s">
        <v>17</v>
      </c>
      <c r="E1515" s="10" t="s">
        <v>29</v>
      </c>
      <c r="F1515" s="10" t="s">
        <v>39</v>
      </c>
      <c r="G1515" s="10" t="s">
        <v>56</v>
      </c>
      <c r="H1515" s="10">
        <v>2500</v>
      </c>
      <c r="I1515" s="6">
        <v>4</v>
      </c>
      <c r="J1515" s="6">
        <f>H1515*I1515</f>
        <v>10000</v>
      </c>
    </row>
    <row r="1516" spans="2:10" ht="20.100000000000001" customHeight="1" x14ac:dyDescent="0.25">
      <c r="B1516" s="5">
        <v>45198</v>
      </c>
      <c r="C1516" s="8" t="str">
        <f>"Ord-09-23-"&amp;TEXT(ROW(C149),"000")</f>
        <v>Ord-09-23-149</v>
      </c>
      <c r="D1516" s="6" t="s">
        <v>23</v>
      </c>
      <c r="E1516" s="10" t="s">
        <v>27</v>
      </c>
      <c r="F1516" s="10" t="s">
        <v>50</v>
      </c>
      <c r="G1516" s="10" t="s">
        <v>64</v>
      </c>
      <c r="H1516" s="10">
        <v>3000</v>
      </c>
      <c r="I1516" s="6">
        <v>1</v>
      </c>
      <c r="J1516" s="6">
        <f>H1516*I1516</f>
        <v>3000</v>
      </c>
    </row>
    <row r="1517" spans="2:10" ht="20.100000000000001" customHeight="1" x14ac:dyDescent="0.25">
      <c r="B1517" s="5">
        <v>45198</v>
      </c>
      <c r="C1517" s="8" t="str">
        <f>"Ord-09-23-"&amp;TEXT(ROW(C150),"000")</f>
        <v>Ord-09-23-150</v>
      </c>
      <c r="D1517" s="6" t="s">
        <v>16</v>
      </c>
      <c r="E1517" s="10" t="s">
        <v>27</v>
      </c>
      <c r="F1517" s="10" t="s">
        <v>50</v>
      </c>
      <c r="G1517" s="10" t="s">
        <v>64</v>
      </c>
      <c r="H1517" s="10">
        <v>3000</v>
      </c>
      <c r="I1517" s="6">
        <v>4</v>
      </c>
      <c r="J1517" s="6">
        <f>H1517*I1517</f>
        <v>12000</v>
      </c>
    </row>
    <row r="1518" spans="2:10" ht="20.100000000000001" customHeight="1" x14ac:dyDescent="0.25">
      <c r="B1518" s="5">
        <v>45199</v>
      </c>
      <c r="C1518" s="8" t="str">
        <f>"Ord-09-23-"&amp;TEXT(ROW(C151),"000")</f>
        <v>Ord-09-23-151</v>
      </c>
      <c r="D1518" s="6" t="s">
        <v>20</v>
      </c>
      <c r="E1518" s="10" t="s">
        <v>32</v>
      </c>
      <c r="F1518" s="10" t="s">
        <v>44</v>
      </c>
      <c r="G1518" s="10" t="s">
        <v>74</v>
      </c>
      <c r="H1518" s="10">
        <v>1800</v>
      </c>
      <c r="I1518" s="6">
        <v>1</v>
      </c>
      <c r="J1518" s="6">
        <f>H1518*I1518</f>
        <v>1800</v>
      </c>
    </row>
    <row r="1519" spans="2:10" ht="20.100000000000001" customHeight="1" x14ac:dyDescent="0.25">
      <c r="B1519" s="5">
        <v>45199</v>
      </c>
      <c r="C1519" s="8" t="str">
        <f>"Ord-09-23-"&amp;TEXT(ROW(C152),"000")</f>
        <v>Ord-09-23-152</v>
      </c>
      <c r="D1519" s="6" t="s">
        <v>26</v>
      </c>
      <c r="E1519" s="10" t="s">
        <v>31</v>
      </c>
      <c r="F1519" s="10" t="s">
        <v>43</v>
      </c>
      <c r="G1519" s="10" t="s">
        <v>63</v>
      </c>
      <c r="H1519" s="10">
        <v>4200</v>
      </c>
      <c r="I1519" s="6">
        <v>1</v>
      </c>
      <c r="J1519" s="6">
        <f>H1519*I1519</f>
        <v>4200</v>
      </c>
    </row>
    <row r="1520" spans="2:10" ht="20.100000000000001" customHeight="1" x14ac:dyDescent="0.25">
      <c r="B1520" s="5">
        <v>45199</v>
      </c>
      <c r="C1520" s="8" t="str">
        <f>"Ord-09-23-"&amp;TEXT(ROW(C153),"000")</f>
        <v>Ord-09-23-153</v>
      </c>
      <c r="D1520" s="6" t="s">
        <v>13</v>
      </c>
      <c r="E1520" s="10" t="s">
        <v>31</v>
      </c>
      <c r="F1520" s="10" t="s">
        <v>48</v>
      </c>
      <c r="G1520" s="10" t="s">
        <v>67</v>
      </c>
      <c r="H1520" s="10">
        <v>8000</v>
      </c>
      <c r="I1520" s="6">
        <v>1</v>
      </c>
      <c r="J1520" s="6">
        <f>H1520*I1520</f>
        <v>8000</v>
      </c>
    </row>
    <row r="1521" spans="2:10" ht="20.100000000000001" customHeight="1" x14ac:dyDescent="0.25">
      <c r="B1521" s="5">
        <v>45199</v>
      </c>
      <c r="C1521" s="8" t="str">
        <f>"Ord-09-23-"&amp;TEXT(ROW(C154),"000")</f>
        <v>Ord-09-23-154</v>
      </c>
      <c r="D1521" s="6" t="s">
        <v>13</v>
      </c>
      <c r="E1521" s="10" t="s">
        <v>29</v>
      </c>
      <c r="F1521" s="10" t="s">
        <v>40</v>
      </c>
      <c r="G1521" s="10" t="s">
        <v>84</v>
      </c>
      <c r="H1521" s="10">
        <v>7500</v>
      </c>
      <c r="I1521" s="6">
        <v>3</v>
      </c>
      <c r="J1521" s="6">
        <f>H1521*I1521</f>
        <v>22500</v>
      </c>
    </row>
    <row r="1522" spans="2:10" ht="20.100000000000001" customHeight="1" x14ac:dyDescent="0.25">
      <c r="B1522" s="5">
        <v>45199</v>
      </c>
      <c r="C1522" s="8" t="str">
        <f>"Ord-09-23-"&amp;TEXT(ROW(C155),"000")</f>
        <v>Ord-09-23-155</v>
      </c>
      <c r="D1522" s="6" t="s">
        <v>24</v>
      </c>
      <c r="E1522" s="10" t="s">
        <v>27</v>
      </c>
      <c r="F1522" s="10" t="s">
        <v>50</v>
      </c>
      <c r="G1522" s="10" t="s">
        <v>54</v>
      </c>
      <c r="H1522" s="10">
        <v>3200</v>
      </c>
      <c r="I1522" s="6">
        <v>1</v>
      </c>
      <c r="J1522" s="6">
        <f>H1522*I1522</f>
        <v>3200</v>
      </c>
    </row>
    <row r="1523" spans="2:10" ht="20.100000000000001" customHeight="1" x14ac:dyDescent="0.25">
      <c r="B1523" s="5">
        <v>45200</v>
      </c>
      <c r="C1523" s="8" t="str">
        <f>"Ord-10-23-"&amp;TEXT(ROW(C1),"000")</f>
        <v>Ord-10-23-001</v>
      </c>
      <c r="D1523" s="6" t="s">
        <v>8</v>
      </c>
      <c r="E1523" s="10" t="s">
        <v>35</v>
      </c>
      <c r="F1523" s="12" t="s">
        <v>90</v>
      </c>
      <c r="G1523" s="10" t="s">
        <v>71</v>
      </c>
      <c r="H1523" s="10">
        <v>5500</v>
      </c>
      <c r="I1523" s="6">
        <v>3</v>
      </c>
      <c r="J1523" s="6">
        <f>H1523*I1523</f>
        <v>16500</v>
      </c>
    </row>
    <row r="1524" spans="2:10" ht="20.100000000000001" customHeight="1" x14ac:dyDescent="0.25">
      <c r="B1524" s="5">
        <v>45200</v>
      </c>
      <c r="C1524" s="8" t="str">
        <f>"Ord-10-23-"&amp;TEXT(ROW(C2),"000")</f>
        <v>Ord-10-23-002</v>
      </c>
      <c r="D1524" s="6" t="s">
        <v>7</v>
      </c>
      <c r="E1524" s="10" t="s">
        <v>31</v>
      </c>
      <c r="F1524" s="10" t="s">
        <v>43</v>
      </c>
      <c r="G1524" s="10" t="s">
        <v>59</v>
      </c>
      <c r="H1524" s="10">
        <v>5200</v>
      </c>
      <c r="I1524" s="6">
        <v>1</v>
      </c>
      <c r="J1524" s="6">
        <f>H1524*I1524</f>
        <v>5200</v>
      </c>
    </row>
    <row r="1525" spans="2:10" ht="20.100000000000001" customHeight="1" x14ac:dyDescent="0.25">
      <c r="B1525" s="5">
        <v>45200</v>
      </c>
      <c r="C1525" s="8" t="str">
        <f>"Ord-10-23-"&amp;TEXT(ROW(C3),"000")</f>
        <v>Ord-10-23-003</v>
      </c>
      <c r="D1525" s="6" t="s">
        <v>26</v>
      </c>
      <c r="E1525" s="10" t="s">
        <v>31</v>
      </c>
      <c r="F1525" s="10" t="s">
        <v>48</v>
      </c>
      <c r="G1525" s="10" t="s">
        <v>63</v>
      </c>
      <c r="H1525" s="10">
        <v>3000</v>
      </c>
      <c r="I1525" s="6">
        <v>3</v>
      </c>
      <c r="J1525" s="6">
        <f>H1525*I1525</f>
        <v>9000</v>
      </c>
    </row>
    <row r="1526" spans="2:10" ht="20.100000000000001" customHeight="1" x14ac:dyDescent="0.25">
      <c r="B1526" s="5">
        <v>45200</v>
      </c>
      <c r="C1526" s="8" t="str">
        <f>"Ord-10-23-"&amp;TEXT(ROW(C4),"000")</f>
        <v>Ord-10-23-004</v>
      </c>
      <c r="D1526" s="6" t="s">
        <v>8</v>
      </c>
      <c r="E1526" s="10" t="s">
        <v>27</v>
      </c>
      <c r="F1526" s="10" t="s">
        <v>50</v>
      </c>
      <c r="G1526" s="10" t="s">
        <v>64</v>
      </c>
      <c r="H1526" s="10">
        <v>3000</v>
      </c>
      <c r="I1526" s="6">
        <v>1</v>
      </c>
      <c r="J1526" s="6">
        <f>H1526*I1526</f>
        <v>3000</v>
      </c>
    </row>
    <row r="1527" spans="2:10" ht="20.100000000000001" customHeight="1" x14ac:dyDescent="0.25">
      <c r="B1527" s="5">
        <v>45200</v>
      </c>
      <c r="C1527" s="8" t="str">
        <f>"Ord-10-23-"&amp;TEXT(ROW(C5),"000")</f>
        <v>Ord-10-23-005</v>
      </c>
      <c r="D1527" s="6" t="s">
        <v>18</v>
      </c>
      <c r="E1527" s="10" t="s">
        <v>27</v>
      </c>
      <c r="F1527" s="10" t="s">
        <v>41</v>
      </c>
      <c r="G1527" s="10" t="s">
        <v>53</v>
      </c>
      <c r="H1527" s="13">
        <v>3000</v>
      </c>
      <c r="I1527" s="6">
        <v>3</v>
      </c>
      <c r="J1527" s="6">
        <f>H1527*I1527</f>
        <v>9000</v>
      </c>
    </row>
    <row r="1528" spans="2:10" ht="20.100000000000001" customHeight="1" x14ac:dyDescent="0.25">
      <c r="B1528" s="5">
        <v>45201</v>
      </c>
      <c r="C1528" s="8" t="str">
        <f>"Ord-10-23-"&amp;TEXT(ROW(C6),"000")</f>
        <v>Ord-10-23-006</v>
      </c>
      <c r="D1528" s="6" t="s">
        <v>24</v>
      </c>
      <c r="E1528" s="10" t="s">
        <v>28</v>
      </c>
      <c r="F1528" s="10" t="s">
        <v>28</v>
      </c>
      <c r="G1528" s="10" t="s">
        <v>55</v>
      </c>
      <c r="H1528" s="10">
        <v>750</v>
      </c>
      <c r="I1528" s="6">
        <v>2</v>
      </c>
      <c r="J1528" s="6">
        <f>H1528*I1528</f>
        <v>1500</v>
      </c>
    </row>
    <row r="1529" spans="2:10" ht="20.100000000000001" customHeight="1" x14ac:dyDescent="0.25">
      <c r="B1529" s="5">
        <v>45201</v>
      </c>
      <c r="C1529" s="8" t="str">
        <f>"Ord-10-23-"&amp;TEXT(ROW(C7),"000")</f>
        <v>Ord-10-23-007</v>
      </c>
      <c r="D1529" s="6" t="s">
        <v>9</v>
      </c>
      <c r="E1529" s="10" t="s">
        <v>31</v>
      </c>
      <c r="F1529" s="10" t="s">
        <v>48</v>
      </c>
      <c r="G1529" s="10" t="s">
        <v>63</v>
      </c>
      <c r="H1529" s="10">
        <v>3000</v>
      </c>
      <c r="I1529" s="6">
        <v>2</v>
      </c>
      <c r="J1529" s="6">
        <f>H1529*I1529</f>
        <v>6000</v>
      </c>
    </row>
    <row r="1530" spans="2:10" ht="20.100000000000001" customHeight="1" x14ac:dyDescent="0.25">
      <c r="B1530" s="5">
        <v>45201</v>
      </c>
      <c r="C1530" s="8" t="str">
        <f>"Ord-10-23-"&amp;TEXT(ROW(C8),"000")</f>
        <v>Ord-10-23-008</v>
      </c>
      <c r="D1530" s="6" t="s">
        <v>7</v>
      </c>
      <c r="E1530" s="10" t="s">
        <v>31</v>
      </c>
      <c r="F1530" s="10" t="s">
        <v>48</v>
      </c>
      <c r="G1530" s="10" t="s">
        <v>66</v>
      </c>
      <c r="H1530" s="10">
        <v>3500</v>
      </c>
      <c r="I1530" s="6">
        <v>3</v>
      </c>
      <c r="J1530" s="6">
        <f>H1530*I1530</f>
        <v>10500</v>
      </c>
    </row>
    <row r="1531" spans="2:10" ht="20.100000000000001" customHeight="1" x14ac:dyDescent="0.25">
      <c r="B1531" s="5">
        <v>45201</v>
      </c>
      <c r="C1531" s="8" t="str">
        <f>"Ord-10-23-"&amp;TEXT(ROW(C9),"000")</f>
        <v>Ord-10-23-009</v>
      </c>
      <c r="D1531" s="6" t="s">
        <v>10</v>
      </c>
      <c r="E1531" s="10" t="s">
        <v>30</v>
      </c>
      <c r="F1531" s="10" t="s">
        <v>90</v>
      </c>
      <c r="G1531" s="10" t="s">
        <v>59</v>
      </c>
      <c r="H1531" s="10">
        <v>4800</v>
      </c>
      <c r="I1531" s="6">
        <v>4</v>
      </c>
      <c r="J1531" s="6">
        <f>H1531*I1531</f>
        <v>19200</v>
      </c>
    </row>
    <row r="1532" spans="2:10" ht="20.100000000000001" customHeight="1" x14ac:dyDescent="0.25">
      <c r="B1532" s="5">
        <v>45201</v>
      </c>
      <c r="C1532" s="8" t="str">
        <f>"Ord-10-23-"&amp;TEXT(ROW(C10),"000")</f>
        <v>Ord-10-23-010</v>
      </c>
      <c r="D1532" s="6" t="s">
        <v>20</v>
      </c>
      <c r="E1532" s="10" t="s">
        <v>34</v>
      </c>
      <c r="F1532" s="10" t="s">
        <v>49</v>
      </c>
      <c r="G1532" s="10" t="s">
        <v>75</v>
      </c>
      <c r="H1532" s="10">
        <v>4300</v>
      </c>
      <c r="I1532" s="6">
        <v>4</v>
      </c>
      <c r="J1532" s="6">
        <f>H1532*I1532</f>
        <v>17200</v>
      </c>
    </row>
    <row r="1533" spans="2:10" ht="20.100000000000001" customHeight="1" x14ac:dyDescent="0.25">
      <c r="B1533" s="5">
        <v>45202</v>
      </c>
      <c r="C1533" s="8" t="str">
        <f>"Ord-10-23-"&amp;TEXT(ROW(C11),"000")</f>
        <v>Ord-10-23-011</v>
      </c>
      <c r="D1533" s="6" t="s">
        <v>24</v>
      </c>
      <c r="E1533" s="10" t="s">
        <v>33</v>
      </c>
      <c r="F1533" s="10" t="s">
        <v>47</v>
      </c>
      <c r="G1533" s="10" t="s">
        <v>65</v>
      </c>
      <c r="H1533" s="10">
        <v>25</v>
      </c>
      <c r="I1533" s="6">
        <v>100</v>
      </c>
      <c r="J1533" s="6">
        <f>H1533*I1533</f>
        <v>2500</v>
      </c>
    </row>
    <row r="1534" spans="2:10" ht="20.100000000000001" customHeight="1" x14ac:dyDescent="0.25">
      <c r="B1534" s="5">
        <v>45202</v>
      </c>
      <c r="C1534" s="8" t="str">
        <f>"Ord-10-23-"&amp;TEXT(ROW(C12),"000")</f>
        <v>Ord-10-23-012</v>
      </c>
      <c r="D1534" s="6" t="s">
        <v>20</v>
      </c>
      <c r="E1534" s="10" t="s">
        <v>31</v>
      </c>
      <c r="F1534" s="10" t="s">
        <v>48</v>
      </c>
      <c r="G1534" s="10" t="s">
        <v>66</v>
      </c>
      <c r="H1534" s="10">
        <v>3500</v>
      </c>
      <c r="I1534" s="6">
        <v>2</v>
      </c>
      <c r="J1534" s="6">
        <f>H1534*I1534</f>
        <v>7000</v>
      </c>
    </row>
    <row r="1535" spans="2:10" ht="20.100000000000001" customHeight="1" x14ac:dyDescent="0.25">
      <c r="B1535" s="5">
        <v>45202</v>
      </c>
      <c r="C1535" s="8" t="str">
        <f>"Ord-10-23-"&amp;TEXT(ROW(C13),"000")</f>
        <v>Ord-10-23-013</v>
      </c>
      <c r="D1535" s="6" t="s">
        <v>19</v>
      </c>
      <c r="E1535" s="10" t="s">
        <v>36</v>
      </c>
      <c r="F1535" s="10" t="s">
        <v>36</v>
      </c>
      <c r="G1535" s="10" t="s">
        <v>85</v>
      </c>
      <c r="H1535" s="10">
        <v>2200</v>
      </c>
      <c r="I1535" s="6">
        <v>1</v>
      </c>
      <c r="J1535" s="6">
        <f>H1535*I1535</f>
        <v>2200</v>
      </c>
    </row>
    <row r="1536" spans="2:10" ht="20.100000000000001" customHeight="1" x14ac:dyDescent="0.25">
      <c r="B1536" s="5">
        <v>45202</v>
      </c>
      <c r="C1536" s="8" t="str">
        <f>"Ord-10-23-"&amp;TEXT(ROW(C14),"000")</f>
        <v>Ord-10-23-014</v>
      </c>
      <c r="D1536" s="6" t="s">
        <v>22</v>
      </c>
      <c r="E1536" s="10" t="s">
        <v>27</v>
      </c>
      <c r="F1536" s="10" t="s">
        <v>42</v>
      </c>
      <c r="G1536" s="10" t="s">
        <v>42</v>
      </c>
      <c r="H1536" s="10">
        <v>2500</v>
      </c>
      <c r="I1536" s="6">
        <v>1</v>
      </c>
      <c r="J1536" s="6">
        <f>H1536*I1536</f>
        <v>2500</v>
      </c>
    </row>
    <row r="1537" spans="2:10" ht="20.100000000000001" customHeight="1" x14ac:dyDescent="0.25">
      <c r="B1537" s="5">
        <v>45202</v>
      </c>
      <c r="C1537" s="8" t="str">
        <f>"Ord-10-23-"&amp;TEXT(ROW(C15),"000")</f>
        <v>Ord-10-23-015</v>
      </c>
      <c r="D1537" s="6" t="s">
        <v>15</v>
      </c>
      <c r="E1537" s="10" t="s">
        <v>27</v>
      </c>
      <c r="F1537" s="10" t="s">
        <v>50</v>
      </c>
      <c r="G1537" s="10" t="s">
        <v>53</v>
      </c>
      <c r="H1537" s="10">
        <v>3500</v>
      </c>
      <c r="I1537" s="6">
        <v>3</v>
      </c>
      <c r="J1537" s="6">
        <f>H1537*I1537</f>
        <v>10500</v>
      </c>
    </row>
    <row r="1538" spans="2:10" ht="20.100000000000001" customHeight="1" x14ac:dyDescent="0.25">
      <c r="B1538" s="5">
        <v>45203</v>
      </c>
      <c r="C1538" s="8" t="str">
        <f>"Ord-10-23-"&amp;TEXT(ROW(C16),"000")</f>
        <v>Ord-10-23-016</v>
      </c>
      <c r="D1538" s="6" t="s">
        <v>20</v>
      </c>
      <c r="E1538" s="10" t="s">
        <v>33</v>
      </c>
      <c r="F1538" s="10" t="s">
        <v>47</v>
      </c>
      <c r="G1538" s="10" t="s">
        <v>65</v>
      </c>
      <c r="H1538" s="10">
        <v>25</v>
      </c>
      <c r="I1538" s="6">
        <v>200</v>
      </c>
      <c r="J1538" s="6">
        <f>H1538*I1538</f>
        <v>5000</v>
      </c>
    </row>
    <row r="1539" spans="2:10" ht="20.100000000000001" customHeight="1" x14ac:dyDescent="0.25">
      <c r="B1539" s="5">
        <v>45203</v>
      </c>
      <c r="C1539" s="8" t="str">
        <f>"Ord-10-23-"&amp;TEXT(ROW(C17),"000")</f>
        <v>Ord-10-23-017</v>
      </c>
      <c r="D1539" s="6" t="s">
        <v>18</v>
      </c>
      <c r="E1539" s="10" t="s">
        <v>31</v>
      </c>
      <c r="F1539" s="10" t="s">
        <v>43</v>
      </c>
      <c r="G1539" s="10" t="s">
        <v>59</v>
      </c>
      <c r="H1539" s="10">
        <v>5200</v>
      </c>
      <c r="I1539" s="6">
        <v>1</v>
      </c>
      <c r="J1539" s="6">
        <f>H1539*I1539</f>
        <v>5200</v>
      </c>
    </row>
    <row r="1540" spans="2:10" ht="20.100000000000001" customHeight="1" x14ac:dyDescent="0.25">
      <c r="B1540" s="5">
        <v>45203</v>
      </c>
      <c r="C1540" s="8" t="str">
        <f>"Ord-10-23-"&amp;TEXT(ROW(C18),"000")</f>
        <v>Ord-10-23-018</v>
      </c>
      <c r="D1540" s="6" t="s">
        <v>8</v>
      </c>
      <c r="E1540" s="10" t="s">
        <v>30</v>
      </c>
      <c r="F1540" s="10" t="s">
        <v>90</v>
      </c>
      <c r="G1540" s="10" t="s">
        <v>86</v>
      </c>
      <c r="H1540" s="10">
        <v>7500</v>
      </c>
      <c r="I1540" s="6">
        <v>4</v>
      </c>
      <c r="J1540" s="6">
        <f>H1540*I1540</f>
        <v>30000</v>
      </c>
    </row>
    <row r="1541" spans="2:10" ht="20.100000000000001" customHeight="1" x14ac:dyDescent="0.25">
      <c r="B1541" s="5">
        <v>45203</v>
      </c>
      <c r="C1541" s="8" t="str">
        <f>"Ord-10-23-"&amp;TEXT(ROW(C19),"000")</f>
        <v>Ord-10-23-019</v>
      </c>
      <c r="D1541" s="6" t="s">
        <v>16</v>
      </c>
      <c r="E1541" s="10" t="s">
        <v>27</v>
      </c>
      <c r="F1541" s="10" t="s">
        <v>41</v>
      </c>
      <c r="G1541" s="10" t="s">
        <v>53</v>
      </c>
      <c r="H1541" s="10">
        <v>3000</v>
      </c>
      <c r="I1541" s="6">
        <v>1</v>
      </c>
      <c r="J1541" s="6">
        <f>H1541*I1541</f>
        <v>3000</v>
      </c>
    </row>
    <row r="1542" spans="2:10" ht="20.100000000000001" customHeight="1" x14ac:dyDescent="0.25">
      <c r="B1542" s="5">
        <v>45203</v>
      </c>
      <c r="C1542" s="8" t="str">
        <f>"Ord-10-23-"&amp;TEXT(ROW(C20),"000")</f>
        <v>Ord-10-23-020</v>
      </c>
      <c r="D1542" s="6" t="s">
        <v>26</v>
      </c>
      <c r="E1542" s="10" t="s">
        <v>27</v>
      </c>
      <c r="F1542" s="10" t="s">
        <v>41</v>
      </c>
      <c r="G1542" s="10" t="s">
        <v>54</v>
      </c>
      <c r="H1542" s="10">
        <v>2800</v>
      </c>
      <c r="I1542" s="6">
        <v>4</v>
      </c>
      <c r="J1542" s="6">
        <f>H1542*I1542</f>
        <v>11200</v>
      </c>
    </row>
    <row r="1543" spans="2:10" ht="20.100000000000001" customHeight="1" x14ac:dyDescent="0.25">
      <c r="B1543" s="5">
        <v>45204</v>
      </c>
      <c r="C1543" s="8" t="str">
        <f>"Ord-10-23-"&amp;TEXT(ROW(C21),"000")</f>
        <v>Ord-10-23-021</v>
      </c>
      <c r="D1543" s="6" t="s">
        <v>7</v>
      </c>
      <c r="E1543" s="10" t="s">
        <v>31</v>
      </c>
      <c r="F1543" s="10" t="s">
        <v>43</v>
      </c>
      <c r="G1543" s="10" t="s">
        <v>66</v>
      </c>
      <c r="H1543" s="10">
        <v>4500</v>
      </c>
      <c r="I1543" s="6">
        <v>1</v>
      </c>
      <c r="J1543" s="6">
        <f>H1543*I1543</f>
        <v>4500</v>
      </c>
    </row>
    <row r="1544" spans="2:10" ht="20.100000000000001" customHeight="1" x14ac:dyDescent="0.25">
      <c r="B1544" s="5">
        <v>45204</v>
      </c>
      <c r="C1544" s="8" t="str">
        <f>"Ord-10-23-"&amp;TEXT(ROW(C22),"000")</f>
        <v>Ord-10-23-022</v>
      </c>
      <c r="D1544" s="6" t="s">
        <v>14</v>
      </c>
      <c r="E1544" s="10" t="s">
        <v>31</v>
      </c>
      <c r="F1544" s="10" t="s">
        <v>43</v>
      </c>
      <c r="G1544" s="10" t="s">
        <v>82</v>
      </c>
      <c r="H1544" s="10">
        <v>16000</v>
      </c>
      <c r="I1544" s="6">
        <v>4</v>
      </c>
      <c r="J1544" s="6">
        <f>H1544*I1544</f>
        <v>64000</v>
      </c>
    </row>
    <row r="1545" spans="2:10" ht="20.100000000000001" customHeight="1" x14ac:dyDescent="0.25">
      <c r="B1545" s="5">
        <v>45204</v>
      </c>
      <c r="C1545" s="8" t="str">
        <f>"Ord-10-23-"&amp;TEXT(ROW(C23),"000")</f>
        <v>Ord-10-23-023</v>
      </c>
      <c r="D1545" s="6" t="s">
        <v>25</v>
      </c>
      <c r="E1545" s="10" t="s">
        <v>29</v>
      </c>
      <c r="F1545" s="10" t="s">
        <v>40</v>
      </c>
      <c r="G1545" s="10" t="s">
        <v>57</v>
      </c>
      <c r="H1545" s="10">
        <v>4000</v>
      </c>
      <c r="I1545" s="6">
        <v>4</v>
      </c>
      <c r="J1545" s="6">
        <f>H1545*I1545</f>
        <v>16000</v>
      </c>
    </row>
    <row r="1546" spans="2:10" ht="20.100000000000001" customHeight="1" x14ac:dyDescent="0.25">
      <c r="B1546" s="5">
        <v>45204</v>
      </c>
      <c r="C1546" s="8" t="str">
        <f>"Ord-10-23-"&amp;TEXT(ROW(C24),"000")</f>
        <v>Ord-10-23-024</v>
      </c>
      <c r="D1546" s="6" t="s">
        <v>9</v>
      </c>
      <c r="E1546" s="10" t="s">
        <v>30</v>
      </c>
      <c r="F1546" s="10" t="s">
        <v>90</v>
      </c>
      <c r="G1546" s="10" t="s">
        <v>59</v>
      </c>
      <c r="H1546" s="10">
        <v>4800</v>
      </c>
      <c r="I1546" s="6">
        <v>4</v>
      </c>
      <c r="J1546" s="6">
        <f>H1546*I1546</f>
        <v>19200</v>
      </c>
    </row>
    <row r="1547" spans="2:10" ht="20.100000000000001" customHeight="1" x14ac:dyDescent="0.25">
      <c r="B1547" s="5">
        <v>45204</v>
      </c>
      <c r="C1547" s="8" t="str">
        <f>"Ord-10-23-"&amp;TEXT(ROW(C25),"000")</f>
        <v>Ord-10-23-025</v>
      </c>
      <c r="D1547" s="6" t="s">
        <v>15</v>
      </c>
      <c r="E1547" s="10" t="s">
        <v>30</v>
      </c>
      <c r="F1547" s="10" t="s">
        <v>90</v>
      </c>
      <c r="G1547" s="10" t="s">
        <v>86</v>
      </c>
      <c r="H1547" s="10">
        <v>7500</v>
      </c>
      <c r="I1547" s="6">
        <v>4</v>
      </c>
      <c r="J1547" s="6">
        <f>H1547*I1547</f>
        <v>30000</v>
      </c>
    </row>
    <row r="1548" spans="2:10" ht="20.100000000000001" customHeight="1" x14ac:dyDescent="0.25">
      <c r="B1548" s="5">
        <v>45205</v>
      </c>
      <c r="C1548" s="8" t="str">
        <f>"Ord-10-23-"&amp;TEXT(ROW(C26),"000")</f>
        <v>Ord-10-23-026</v>
      </c>
      <c r="D1548" s="6" t="s">
        <v>17</v>
      </c>
      <c r="E1548" s="10" t="s">
        <v>35</v>
      </c>
      <c r="F1548" s="12" t="s">
        <v>90</v>
      </c>
      <c r="G1548" s="10" t="s">
        <v>55</v>
      </c>
      <c r="H1548" s="10">
        <v>5000</v>
      </c>
      <c r="I1548" s="6">
        <v>1</v>
      </c>
      <c r="J1548" s="6">
        <f>H1548*I1548</f>
        <v>5000</v>
      </c>
    </row>
    <row r="1549" spans="2:10" ht="20.100000000000001" customHeight="1" x14ac:dyDescent="0.25">
      <c r="B1549" s="5">
        <v>45205</v>
      </c>
      <c r="C1549" s="8" t="str">
        <f>"Ord-10-23-"&amp;TEXT(ROW(C27),"000")</f>
        <v>Ord-10-23-027</v>
      </c>
      <c r="D1549" s="6" t="s">
        <v>7</v>
      </c>
      <c r="E1549" s="10" t="s">
        <v>31</v>
      </c>
      <c r="F1549" s="10" t="s">
        <v>45</v>
      </c>
      <c r="G1549" s="10" t="s">
        <v>66</v>
      </c>
      <c r="H1549" s="10">
        <v>2300</v>
      </c>
      <c r="I1549" s="6">
        <v>4</v>
      </c>
      <c r="J1549" s="6">
        <f>H1549*I1549</f>
        <v>9200</v>
      </c>
    </row>
    <row r="1550" spans="2:10" ht="20.100000000000001" customHeight="1" x14ac:dyDescent="0.25">
      <c r="B1550" s="5">
        <v>45205</v>
      </c>
      <c r="C1550" s="8" t="str">
        <f>"Ord-10-23-"&amp;TEXT(ROW(C28),"000")</f>
        <v>Ord-10-23-028</v>
      </c>
      <c r="D1550" s="6" t="s">
        <v>20</v>
      </c>
      <c r="E1550" s="10" t="s">
        <v>27</v>
      </c>
      <c r="F1550" s="10" t="s">
        <v>38</v>
      </c>
      <c r="G1550" s="10" t="s">
        <v>64</v>
      </c>
      <c r="H1550" s="10">
        <v>4800</v>
      </c>
      <c r="I1550" s="6">
        <v>1</v>
      </c>
      <c r="J1550" s="6">
        <f>H1550*I1550</f>
        <v>4800</v>
      </c>
    </row>
    <row r="1551" spans="2:10" ht="20.100000000000001" customHeight="1" x14ac:dyDescent="0.25">
      <c r="B1551" s="5">
        <v>45205</v>
      </c>
      <c r="C1551" s="8" t="str">
        <f>"Ord-10-23-"&amp;TEXT(ROW(C29),"000")</f>
        <v>Ord-10-23-029</v>
      </c>
      <c r="D1551" s="6" t="s">
        <v>9</v>
      </c>
      <c r="E1551" s="10" t="s">
        <v>34</v>
      </c>
      <c r="F1551" s="10" t="s">
        <v>49</v>
      </c>
      <c r="G1551" s="10" t="s">
        <v>68</v>
      </c>
      <c r="H1551" s="10">
        <v>4000</v>
      </c>
      <c r="I1551" s="6">
        <v>2</v>
      </c>
      <c r="J1551" s="6">
        <f>H1551*I1551</f>
        <v>8000</v>
      </c>
    </row>
    <row r="1552" spans="2:10" ht="20.100000000000001" customHeight="1" x14ac:dyDescent="0.25">
      <c r="B1552" s="5">
        <v>45205</v>
      </c>
      <c r="C1552" s="8" t="str">
        <f>"Ord-10-23-"&amp;TEXT(ROW(C30),"000")</f>
        <v>Ord-10-23-030</v>
      </c>
      <c r="D1552" s="6" t="s">
        <v>16</v>
      </c>
      <c r="E1552" s="10" t="s">
        <v>34</v>
      </c>
      <c r="F1552" s="10" t="s">
        <v>49</v>
      </c>
      <c r="G1552" s="10" t="s">
        <v>68</v>
      </c>
      <c r="H1552" s="10">
        <v>4000</v>
      </c>
      <c r="I1552" s="6">
        <v>4</v>
      </c>
      <c r="J1552" s="6">
        <f>H1552*I1552</f>
        <v>16000</v>
      </c>
    </row>
    <row r="1553" spans="2:10" ht="20.100000000000001" customHeight="1" x14ac:dyDescent="0.25">
      <c r="B1553" s="5">
        <v>45206</v>
      </c>
      <c r="C1553" s="8" t="str">
        <f>"Ord-10-23-"&amp;TEXT(ROW(C31),"000")</f>
        <v>Ord-10-23-031</v>
      </c>
      <c r="D1553" s="6" t="s">
        <v>22</v>
      </c>
      <c r="E1553" s="10" t="s">
        <v>33</v>
      </c>
      <c r="F1553" s="10" t="s">
        <v>46</v>
      </c>
      <c r="G1553" s="10" t="s">
        <v>65</v>
      </c>
      <c r="H1553" s="10">
        <v>15</v>
      </c>
      <c r="I1553" s="6">
        <v>250</v>
      </c>
      <c r="J1553" s="6">
        <f>H1553*I1553</f>
        <v>3750</v>
      </c>
    </row>
    <row r="1554" spans="2:10" ht="20.100000000000001" customHeight="1" x14ac:dyDescent="0.25">
      <c r="B1554" s="5">
        <v>45206</v>
      </c>
      <c r="C1554" s="8" t="str">
        <f>"Ord-10-23-"&amp;TEXT(ROW(C32),"000")</f>
        <v>Ord-10-23-032</v>
      </c>
      <c r="D1554" s="6" t="s">
        <v>14</v>
      </c>
      <c r="E1554" s="10" t="s">
        <v>33</v>
      </c>
      <c r="F1554" s="10" t="s">
        <v>46</v>
      </c>
      <c r="G1554" s="10" t="s">
        <v>65</v>
      </c>
      <c r="H1554" s="10">
        <v>15</v>
      </c>
      <c r="I1554" s="6">
        <v>500</v>
      </c>
      <c r="J1554" s="6">
        <f>H1554*I1554</f>
        <v>7500</v>
      </c>
    </row>
    <row r="1555" spans="2:10" ht="20.100000000000001" customHeight="1" x14ac:dyDescent="0.25">
      <c r="B1555" s="4">
        <v>45206</v>
      </c>
      <c r="C1555" s="8" t="str">
        <f>"Ord-10-23-"&amp;TEXT(ROW(C33),"000")</f>
        <v>Ord-10-23-033</v>
      </c>
      <c r="D1555" s="6" t="s">
        <v>20</v>
      </c>
      <c r="E1555" s="10" t="s">
        <v>31</v>
      </c>
      <c r="F1555" s="10" t="s">
        <v>48</v>
      </c>
      <c r="G1555" s="10" t="s">
        <v>73</v>
      </c>
      <c r="H1555" s="13">
        <v>1600</v>
      </c>
      <c r="I1555" s="7">
        <v>5</v>
      </c>
      <c r="J1555" s="6">
        <f>H1555*I1555</f>
        <v>8000</v>
      </c>
    </row>
    <row r="1556" spans="2:10" ht="20.100000000000001" customHeight="1" x14ac:dyDescent="0.25">
      <c r="B1556" s="4">
        <v>45206</v>
      </c>
      <c r="C1556" s="8" t="str">
        <f>"Ord-10-23-"&amp;TEXT(ROW(C34),"000")</f>
        <v>Ord-10-23-034</v>
      </c>
      <c r="D1556" s="6" t="s">
        <v>8</v>
      </c>
      <c r="E1556" s="10" t="s">
        <v>36</v>
      </c>
      <c r="F1556" s="10" t="s">
        <v>36</v>
      </c>
      <c r="G1556" s="10" t="s">
        <v>78</v>
      </c>
      <c r="H1556" s="13">
        <v>2500</v>
      </c>
      <c r="I1556" s="7">
        <v>5</v>
      </c>
      <c r="J1556" s="6">
        <f>H1556*I1556</f>
        <v>12500</v>
      </c>
    </row>
    <row r="1557" spans="2:10" ht="20.100000000000001" customHeight="1" x14ac:dyDescent="0.25">
      <c r="B1557" s="4">
        <v>45206</v>
      </c>
      <c r="C1557" s="8" t="str">
        <f>"Ord-10-23-"&amp;TEXT(ROW(C35),"000")</f>
        <v>Ord-10-23-035</v>
      </c>
      <c r="D1557" s="6" t="s">
        <v>9</v>
      </c>
      <c r="E1557" s="10" t="s">
        <v>29</v>
      </c>
      <c r="F1557" s="10" t="s">
        <v>39</v>
      </c>
      <c r="G1557" s="10" t="s">
        <v>60</v>
      </c>
      <c r="H1557" s="13">
        <v>1500</v>
      </c>
      <c r="I1557" s="7">
        <v>2</v>
      </c>
      <c r="J1557" s="6">
        <f>H1557*I1557</f>
        <v>3000</v>
      </c>
    </row>
    <row r="1558" spans="2:10" ht="20.100000000000001" customHeight="1" x14ac:dyDescent="0.25">
      <c r="B1558" s="5">
        <v>45206</v>
      </c>
      <c r="C1558" s="8" t="str">
        <f>"Ord-10-23-"&amp;TEXT(ROW(C36),"000")</f>
        <v>Ord-10-23-036</v>
      </c>
      <c r="D1558" s="6" t="s">
        <v>20</v>
      </c>
      <c r="E1558" s="10" t="s">
        <v>29</v>
      </c>
      <c r="F1558" s="10" t="s">
        <v>39</v>
      </c>
      <c r="G1558" s="10" t="s">
        <v>60</v>
      </c>
      <c r="H1558" s="10">
        <v>1500</v>
      </c>
      <c r="I1558" s="6">
        <v>4</v>
      </c>
      <c r="J1558" s="6">
        <f>H1558*I1558</f>
        <v>6000</v>
      </c>
    </row>
    <row r="1559" spans="2:10" ht="20.100000000000001" customHeight="1" x14ac:dyDescent="0.25">
      <c r="B1559" s="5">
        <v>45206</v>
      </c>
      <c r="C1559" s="8" t="str">
        <f>"Ord-10-23-"&amp;TEXT(ROW(C37),"000")</f>
        <v>Ord-10-23-037</v>
      </c>
      <c r="D1559" s="6" t="s">
        <v>13</v>
      </c>
      <c r="E1559" s="10" t="s">
        <v>29</v>
      </c>
      <c r="F1559" s="10" t="s">
        <v>39</v>
      </c>
      <c r="G1559" s="10" t="s">
        <v>56</v>
      </c>
      <c r="H1559" s="10">
        <v>2500</v>
      </c>
      <c r="I1559" s="6">
        <v>1</v>
      </c>
      <c r="J1559" s="6">
        <f>H1559*I1559</f>
        <v>2500</v>
      </c>
    </row>
    <row r="1560" spans="2:10" ht="20.100000000000001" customHeight="1" x14ac:dyDescent="0.25">
      <c r="B1560" s="4">
        <v>45206</v>
      </c>
      <c r="C1560" s="8" t="str">
        <f>"Ord-10-23-"&amp;TEXT(ROW(C38),"000")</f>
        <v>Ord-10-23-038</v>
      </c>
      <c r="D1560" s="6" t="s">
        <v>12</v>
      </c>
      <c r="E1560" s="10" t="s">
        <v>27</v>
      </c>
      <c r="F1560" s="10" t="s">
        <v>42</v>
      </c>
      <c r="G1560" s="10" t="s">
        <v>42</v>
      </c>
      <c r="H1560" s="13">
        <v>2500</v>
      </c>
      <c r="I1560" s="7">
        <v>1</v>
      </c>
      <c r="J1560" s="6">
        <f>H1560*I1560</f>
        <v>2500</v>
      </c>
    </row>
    <row r="1561" spans="2:10" ht="20.100000000000001" customHeight="1" x14ac:dyDescent="0.25">
      <c r="B1561" s="5">
        <v>45206</v>
      </c>
      <c r="C1561" s="8" t="str">
        <f>"Ord-10-23-"&amp;TEXT(ROW(C39),"000")</f>
        <v>Ord-10-23-039</v>
      </c>
      <c r="D1561" s="6" t="s">
        <v>16</v>
      </c>
      <c r="E1561" s="10" t="s">
        <v>27</v>
      </c>
      <c r="F1561" s="10" t="s">
        <v>50</v>
      </c>
      <c r="G1561" s="10" t="s">
        <v>53</v>
      </c>
      <c r="H1561" s="10">
        <v>3500</v>
      </c>
      <c r="I1561" s="6">
        <v>3</v>
      </c>
      <c r="J1561" s="6">
        <f>H1561*I1561</f>
        <v>10500</v>
      </c>
    </row>
    <row r="1562" spans="2:10" ht="20.100000000000001" customHeight="1" x14ac:dyDescent="0.25">
      <c r="B1562" s="4">
        <v>45206</v>
      </c>
      <c r="C1562" s="8" t="str">
        <f>"Ord-10-23-"&amp;TEXT(ROW(C40),"000")</f>
        <v>Ord-10-23-040</v>
      </c>
      <c r="D1562" s="6" t="s">
        <v>13</v>
      </c>
      <c r="E1562" s="10" t="s">
        <v>27</v>
      </c>
      <c r="F1562" s="10" t="s">
        <v>38</v>
      </c>
      <c r="G1562" s="10" t="s">
        <v>64</v>
      </c>
      <c r="H1562" s="13">
        <v>4800</v>
      </c>
      <c r="I1562" s="7">
        <v>3</v>
      </c>
      <c r="J1562" s="6">
        <f>H1562*I1562</f>
        <v>14400</v>
      </c>
    </row>
    <row r="1563" spans="2:10" ht="20.100000000000001" customHeight="1" x14ac:dyDescent="0.25">
      <c r="B1563" s="5">
        <v>45207</v>
      </c>
      <c r="C1563" s="8" t="str">
        <f>"Ord-10-23-"&amp;TEXT(ROW(C41),"000")</f>
        <v>Ord-10-23-041</v>
      </c>
      <c r="D1563" s="6" t="s">
        <v>7</v>
      </c>
      <c r="E1563" s="10" t="s">
        <v>28</v>
      </c>
      <c r="F1563" s="10" t="s">
        <v>28</v>
      </c>
      <c r="G1563" s="10" t="s">
        <v>79</v>
      </c>
      <c r="H1563" s="10">
        <v>600</v>
      </c>
      <c r="I1563" s="6">
        <v>5</v>
      </c>
      <c r="J1563" s="6">
        <f>H1563*I1563</f>
        <v>3000</v>
      </c>
    </row>
    <row r="1564" spans="2:10" ht="20.100000000000001" customHeight="1" x14ac:dyDescent="0.25">
      <c r="B1564" s="5">
        <v>45207</v>
      </c>
      <c r="C1564" s="8" t="str">
        <f>"Ord-10-23-"&amp;TEXT(ROW(C42),"000")</f>
        <v>Ord-10-23-042</v>
      </c>
      <c r="D1564" s="6" t="s">
        <v>14</v>
      </c>
      <c r="E1564" s="10" t="s">
        <v>28</v>
      </c>
      <c r="F1564" s="10" t="s">
        <v>28</v>
      </c>
      <c r="G1564" s="10" t="s">
        <v>79</v>
      </c>
      <c r="H1564" s="10">
        <v>600</v>
      </c>
      <c r="I1564" s="6">
        <v>1</v>
      </c>
      <c r="J1564" s="6">
        <f>H1564*I1564</f>
        <v>600</v>
      </c>
    </row>
    <row r="1565" spans="2:10" ht="20.100000000000001" customHeight="1" x14ac:dyDescent="0.25">
      <c r="B1565" s="5">
        <v>45207</v>
      </c>
      <c r="C1565" s="8" t="str">
        <f>"Ord-10-23-"&amp;TEXT(ROW(C43),"000")</f>
        <v>Ord-10-23-043</v>
      </c>
      <c r="D1565" s="6" t="s">
        <v>25</v>
      </c>
      <c r="E1565" s="10" t="s">
        <v>28</v>
      </c>
      <c r="F1565" s="10" t="s">
        <v>28</v>
      </c>
      <c r="G1565" s="10" t="s">
        <v>71</v>
      </c>
      <c r="H1565" s="10">
        <v>850</v>
      </c>
      <c r="I1565" s="6">
        <v>2</v>
      </c>
      <c r="J1565" s="6">
        <f>H1565*I1565</f>
        <v>1700</v>
      </c>
    </row>
    <row r="1566" spans="2:10" ht="20.100000000000001" customHeight="1" x14ac:dyDescent="0.25">
      <c r="B1566" s="5">
        <v>45207</v>
      </c>
      <c r="C1566" s="8" t="str">
        <f>"Ord-10-23-"&amp;TEXT(ROW(C44),"000")</f>
        <v>Ord-10-23-044</v>
      </c>
      <c r="D1566" s="6" t="s">
        <v>7</v>
      </c>
      <c r="E1566" s="10" t="s">
        <v>31</v>
      </c>
      <c r="F1566" s="10" t="s">
        <v>52</v>
      </c>
      <c r="G1566" s="10" t="s">
        <v>82</v>
      </c>
      <c r="H1566" s="10">
        <v>5000</v>
      </c>
      <c r="I1566" s="6">
        <v>1</v>
      </c>
      <c r="J1566" s="6">
        <f>H1566*I1566</f>
        <v>5000</v>
      </c>
    </row>
    <row r="1567" spans="2:10" ht="20.100000000000001" customHeight="1" x14ac:dyDescent="0.25">
      <c r="B1567" s="5">
        <v>45207</v>
      </c>
      <c r="C1567" s="8" t="str">
        <f>"Ord-10-23-"&amp;TEXT(ROW(C45),"000")</f>
        <v>Ord-10-23-045</v>
      </c>
      <c r="D1567" s="6" t="s">
        <v>21</v>
      </c>
      <c r="E1567" s="10" t="s">
        <v>31</v>
      </c>
      <c r="F1567" s="10" t="s">
        <v>48</v>
      </c>
      <c r="G1567" s="10" t="s">
        <v>59</v>
      </c>
      <c r="H1567" s="10">
        <v>4000</v>
      </c>
      <c r="I1567" s="6">
        <v>2</v>
      </c>
      <c r="J1567" s="6">
        <f>H1567*I1567</f>
        <v>8000</v>
      </c>
    </row>
    <row r="1568" spans="2:10" ht="20.100000000000001" customHeight="1" x14ac:dyDescent="0.25">
      <c r="B1568" s="5">
        <v>45208</v>
      </c>
      <c r="C1568" s="8" t="str">
        <f>"Ord-10-23-"&amp;TEXT(ROW(C46),"000")</f>
        <v>Ord-10-23-046</v>
      </c>
      <c r="D1568" s="6" t="s">
        <v>19</v>
      </c>
      <c r="E1568" s="10" t="s">
        <v>33</v>
      </c>
      <c r="F1568" s="10" t="s">
        <v>47</v>
      </c>
      <c r="G1568" s="10" t="s">
        <v>65</v>
      </c>
      <c r="H1568" s="10">
        <v>25</v>
      </c>
      <c r="I1568" s="6">
        <v>100</v>
      </c>
      <c r="J1568" s="6">
        <f>H1568*I1568</f>
        <v>2500</v>
      </c>
    </row>
    <row r="1569" spans="2:10" ht="20.100000000000001" customHeight="1" x14ac:dyDescent="0.25">
      <c r="B1569" s="5">
        <v>45208</v>
      </c>
      <c r="C1569" s="8" t="str">
        <f>"Ord-10-23-"&amp;TEXT(ROW(C47),"000")</f>
        <v>Ord-10-23-047</v>
      </c>
      <c r="D1569" s="6" t="s">
        <v>25</v>
      </c>
      <c r="E1569" s="10" t="s">
        <v>33</v>
      </c>
      <c r="F1569" s="10" t="s">
        <v>46</v>
      </c>
      <c r="G1569" s="10" t="s">
        <v>65</v>
      </c>
      <c r="H1569" s="10">
        <v>15</v>
      </c>
      <c r="I1569" s="6">
        <v>400</v>
      </c>
      <c r="J1569" s="6">
        <f>H1569*I1569</f>
        <v>6000</v>
      </c>
    </row>
    <row r="1570" spans="2:10" ht="20.100000000000001" customHeight="1" x14ac:dyDescent="0.25">
      <c r="B1570" s="5">
        <v>45208</v>
      </c>
      <c r="C1570" s="8" t="str">
        <f>"Ord-10-23-"&amp;TEXT(ROW(C48),"000")</f>
        <v>Ord-10-23-048</v>
      </c>
      <c r="D1570" s="6" t="s">
        <v>21</v>
      </c>
      <c r="E1570" s="10" t="s">
        <v>31</v>
      </c>
      <c r="F1570" s="10" t="s">
        <v>48</v>
      </c>
      <c r="G1570" s="10" t="s">
        <v>67</v>
      </c>
      <c r="H1570" s="10">
        <v>8000</v>
      </c>
      <c r="I1570" s="6">
        <v>2</v>
      </c>
      <c r="J1570" s="6">
        <f>H1570*I1570</f>
        <v>16000</v>
      </c>
    </row>
    <row r="1571" spans="2:10" ht="20.100000000000001" customHeight="1" x14ac:dyDescent="0.25">
      <c r="B1571" s="5">
        <v>45208</v>
      </c>
      <c r="C1571" s="8" t="str">
        <f>"Ord-10-23-"&amp;TEXT(ROW(C49),"000")</f>
        <v>Ord-10-23-049</v>
      </c>
      <c r="D1571" s="6" t="s">
        <v>15</v>
      </c>
      <c r="E1571" s="10" t="s">
        <v>27</v>
      </c>
      <c r="F1571" s="10" t="s">
        <v>37</v>
      </c>
      <c r="G1571" s="10" t="s">
        <v>54</v>
      </c>
      <c r="H1571" s="10">
        <v>5000</v>
      </c>
      <c r="I1571" s="6">
        <v>1</v>
      </c>
      <c r="J1571" s="6">
        <f>H1571*I1571</f>
        <v>5000</v>
      </c>
    </row>
    <row r="1572" spans="2:10" ht="20.100000000000001" customHeight="1" x14ac:dyDescent="0.25">
      <c r="B1572" s="5">
        <v>45208</v>
      </c>
      <c r="C1572" s="8" t="str">
        <f>"Ord-10-23-"&amp;TEXT(ROW(C50),"000")</f>
        <v>Ord-10-23-050</v>
      </c>
      <c r="D1572" s="6" t="s">
        <v>24</v>
      </c>
      <c r="E1572" s="10" t="s">
        <v>27</v>
      </c>
      <c r="F1572" s="10" t="s">
        <v>41</v>
      </c>
      <c r="G1572" s="10" t="s">
        <v>53</v>
      </c>
      <c r="H1572" s="10">
        <v>3000</v>
      </c>
      <c r="I1572" s="6">
        <v>2</v>
      </c>
      <c r="J1572" s="6">
        <f>H1572*I1572</f>
        <v>6000</v>
      </c>
    </row>
    <row r="1573" spans="2:10" ht="20.100000000000001" customHeight="1" x14ac:dyDescent="0.25">
      <c r="B1573" s="5">
        <v>45209</v>
      </c>
      <c r="C1573" s="8" t="str">
        <f>"Ord-10-23-"&amp;TEXT(ROW(C51),"000")</f>
        <v>Ord-10-23-051</v>
      </c>
      <c r="D1573" s="6" t="s">
        <v>9</v>
      </c>
      <c r="E1573" s="10" t="s">
        <v>31</v>
      </c>
      <c r="F1573" s="10" t="s">
        <v>45</v>
      </c>
      <c r="G1573" s="10" t="s">
        <v>63</v>
      </c>
      <c r="H1573" s="10">
        <v>1800</v>
      </c>
      <c r="I1573" s="6">
        <v>1</v>
      </c>
      <c r="J1573" s="6">
        <f>H1573*I1573</f>
        <v>1800</v>
      </c>
    </row>
    <row r="1574" spans="2:10" ht="20.100000000000001" customHeight="1" x14ac:dyDescent="0.25">
      <c r="B1574" s="5">
        <v>45209</v>
      </c>
      <c r="C1574" s="8" t="str">
        <f>"Ord-10-23-"&amp;TEXT(ROW(C52),"000")</f>
        <v>Ord-10-23-052</v>
      </c>
      <c r="D1574" s="6" t="s">
        <v>26</v>
      </c>
      <c r="E1574" s="10" t="s">
        <v>36</v>
      </c>
      <c r="F1574" s="10" t="s">
        <v>36</v>
      </c>
      <c r="G1574" s="10" t="s">
        <v>85</v>
      </c>
      <c r="H1574" s="10">
        <v>2200</v>
      </c>
      <c r="I1574" s="6">
        <v>2</v>
      </c>
      <c r="J1574" s="6">
        <f>H1574*I1574</f>
        <v>4400</v>
      </c>
    </row>
    <row r="1575" spans="2:10" ht="20.100000000000001" customHeight="1" x14ac:dyDescent="0.25">
      <c r="B1575" s="5">
        <v>45209</v>
      </c>
      <c r="C1575" s="8" t="str">
        <f>"Ord-10-23-"&amp;TEXT(ROW(C53),"000")</f>
        <v>Ord-10-23-053</v>
      </c>
      <c r="D1575" s="6" t="s">
        <v>13</v>
      </c>
      <c r="E1575" s="10" t="s">
        <v>30</v>
      </c>
      <c r="F1575" s="10" t="s">
        <v>90</v>
      </c>
      <c r="G1575" s="10" t="s">
        <v>86</v>
      </c>
      <c r="H1575" s="10">
        <v>7500</v>
      </c>
      <c r="I1575" s="6">
        <v>1</v>
      </c>
      <c r="J1575" s="6">
        <f>H1575*I1575</f>
        <v>7500</v>
      </c>
    </row>
    <row r="1576" spans="2:10" ht="20.100000000000001" customHeight="1" x14ac:dyDescent="0.25">
      <c r="B1576" s="5">
        <v>45209</v>
      </c>
      <c r="C1576" s="8" t="str">
        <f>"Ord-10-23-"&amp;TEXT(ROW(C54),"000")</f>
        <v>Ord-10-23-054</v>
      </c>
      <c r="D1576" s="6" t="s">
        <v>26</v>
      </c>
      <c r="E1576" s="10" t="s">
        <v>27</v>
      </c>
      <c r="F1576" s="10" t="s">
        <v>38</v>
      </c>
      <c r="G1576" s="10" t="s">
        <v>64</v>
      </c>
      <c r="H1576" s="10">
        <v>4800</v>
      </c>
      <c r="I1576" s="6">
        <v>2</v>
      </c>
      <c r="J1576" s="6">
        <f>H1576*I1576</f>
        <v>9600</v>
      </c>
    </row>
    <row r="1577" spans="2:10" ht="20.100000000000001" customHeight="1" x14ac:dyDescent="0.25">
      <c r="B1577" s="5">
        <v>45209</v>
      </c>
      <c r="C1577" s="8" t="str">
        <f>"Ord-10-23-"&amp;TEXT(ROW(C55),"000")</f>
        <v>Ord-10-23-055</v>
      </c>
      <c r="D1577" s="6" t="s">
        <v>19</v>
      </c>
      <c r="E1577" s="10" t="s">
        <v>27</v>
      </c>
      <c r="F1577" s="10" t="s">
        <v>41</v>
      </c>
      <c r="G1577" s="10" t="s">
        <v>64</v>
      </c>
      <c r="H1577" s="10">
        <v>2500</v>
      </c>
      <c r="I1577" s="7">
        <v>1</v>
      </c>
      <c r="J1577" s="6">
        <f>H1577*I1577</f>
        <v>2500</v>
      </c>
    </row>
    <row r="1578" spans="2:10" ht="20.100000000000001" customHeight="1" x14ac:dyDescent="0.25">
      <c r="B1578" s="5">
        <v>45210</v>
      </c>
      <c r="C1578" s="8" t="str">
        <f>"Ord-10-23-"&amp;TEXT(ROW(C56),"000")</f>
        <v>Ord-10-23-056</v>
      </c>
      <c r="D1578" s="6" t="s">
        <v>26</v>
      </c>
      <c r="E1578" s="10" t="s">
        <v>35</v>
      </c>
      <c r="F1578" s="12" t="s">
        <v>90</v>
      </c>
      <c r="G1578" s="10" t="s">
        <v>58</v>
      </c>
      <c r="H1578" s="10">
        <v>7500</v>
      </c>
      <c r="I1578" s="6">
        <v>1</v>
      </c>
      <c r="J1578" s="6">
        <f>H1578*I1578</f>
        <v>7500</v>
      </c>
    </row>
    <row r="1579" spans="2:10" ht="20.100000000000001" customHeight="1" x14ac:dyDescent="0.25">
      <c r="B1579" s="5">
        <v>45210</v>
      </c>
      <c r="C1579" s="8" t="str">
        <f>"Ord-10-23-"&amp;TEXT(ROW(C57),"000")</f>
        <v>Ord-10-23-057</v>
      </c>
      <c r="D1579" s="6" t="s">
        <v>16</v>
      </c>
      <c r="E1579" s="10" t="s">
        <v>33</v>
      </c>
      <c r="F1579" s="10" t="s">
        <v>46</v>
      </c>
      <c r="G1579" s="10" t="s">
        <v>65</v>
      </c>
      <c r="H1579" s="10">
        <v>15</v>
      </c>
      <c r="I1579" s="6">
        <v>370</v>
      </c>
      <c r="J1579" s="6">
        <f>H1579*I1579</f>
        <v>5550</v>
      </c>
    </row>
    <row r="1580" spans="2:10" ht="20.100000000000001" customHeight="1" x14ac:dyDescent="0.25">
      <c r="B1580" s="5">
        <v>45210</v>
      </c>
      <c r="C1580" s="8" t="str">
        <f>"Ord-10-23-"&amp;TEXT(ROW(C58),"000")</f>
        <v>Ord-10-23-058</v>
      </c>
      <c r="D1580" s="6" t="s">
        <v>7</v>
      </c>
      <c r="E1580" s="10" t="s">
        <v>31</v>
      </c>
      <c r="F1580" s="10" t="s">
        <v>45</v>
      </c>
      <c r="G1580" s="10" t="s">
        <v>63</v>
      </c>
      <c r="H1580" s="10">
        <v>1800</v>
      </c>
      <c r="I1580" s="6">
        <v>3</v>
      </c>
      <c r="J1580" s="6">
        <f>H1580*I1580</f>
        <v>5400</v>
      </c>
    </row>
    <row r="1581" spans="2:10" ht="20.100000000000001" customHeight="1" x14ac:dyDescent="0.25">
      <c r="B1581" s="5">
        <v>45210</v>
      </c>
      <c r="C1581" s="8" t="str">
        <f>"Ord-10-23-"&amp;TEXT(ROW(C59),"000")</f>
        <v>Ord-10-23-059</v>
      </c>
      <c r="D1581" s="6" t="s">
        <v>21</v>
      </c>
      <c r="E1581" s="10" t="s">
        <v>31</v>
      </c>
      <c r="F1581" s="10" t="s">
        <v>52</v>
      </c>
      <c r="G1581" s="10" t="s">
        <v>66</v>
      </c>
      <c r="H1581" s="10">
        <v>4500</v>
      </c>
      <c r="I1581" s="6">
        <v>2</v>
      </c>
      <c r="J1581" s="6">
        <f>H1581*I1581</f>
        <v>9000</v>
      </c>
    </row>
    <row r="1582" spans="2:10" ht="20.100000000000001" customHeight="1" x14ac:dyDescent="0.25">
      <c r="B1582" s="5">
        <v>45210</v>
      </c>
      <c r="C1582" s="8" t="str">
        <f>"Ord-10-23-"&amp;TEXT(ROW(C60),"000")</f>
        <v>Ord-10-23-060</v>
      </c>
      <c r="D1582" s="6" t="s">
        <v>8</v>
      </c>
      <c r="E1582" s="10" t="s">
        <v>29</v>
      </c>
      <c r="F1582" s="10" t="s">
        <v>40</v>
      </c>
      <c r="G1582" s="10" t="s">
        <v>57</v>
      </c>
      <c r="H1582" s="10">
        <v>4000</v>
      </c>
      <c r="I1582" s="6">
        <v>1</v>
      </c>
      <c r="J1582" s="6">
        <f>H1582*I1582</f>
        <v>4000</v>
      </c>
    </row>
    <row r="1583" spans="2:10" ht="20.100000000000001" customHeight="1" x14ac:dyDescent="0.25">
      <c r="B1583" s="5">
        <v>45211</v>
      </c>
      <c r="C1583" s="8" t="str">
        <f>"Ord-10-23-"&amp;TEXT(ROW(C61),"000")</f>
        <v>Ord-10-23-061</v>
      </c>
      <c r="D1583" s="6" t="s">
        <v>25</v>
      </c>
      <c r="E1583" s="10" t="s">
        <v>31</v>
      </c>
      <c r="F1583" s="10" t="s">
        <v>45</v>
      </c>
      <c r="G1583" s="10" t="s">
        <v>66</v>
      </c>
      <c r="H1583" s="10">
        <v>2300</v>
      </c>
      <c r="I1583" s="6">
        <v>3</v>
      </c>
      <c r="J1583" s="6">
        <f>H1583*I1583</f>
        <v>6900</v>
      </c>
    </row>
    <row r="1584" spans="2:10" ht="20.100000000000001" customHeight="1" x14ac:dyDescent="0.25">
      <c r="B1584" s="5">
        <v>45211</v>
      </c>
      <c r="C1584" s="8" t="str">
        <f>"Ord-10-23-"&amp;TEXT(ROW(C62),"000")</f>
        <v>Ord-10-23-062</v>
      </c>
      <c r="D1584" s="6" t="s">
        <v>9</v>
      </c>
      <c r="E1584" s="10" t="s">
        <v>36</v>
      </c>
      <c r="F1584" s="10" t="s">
        <v>36</v>
      </c>
      <c r="G1584" s="10" t="s">
        <v>78</v>
      </c>
      <c r="H1584" s="10">
        <v>2500</v>
      </c>
      <c r="I1584" s="6">
        <v>3</v>
      </c>
      <c r="J1584" s="6">
        <f>H1584*I1584</f>
        <v>7500</v>
      </c>
    </row>
    <row r="1585" spans="2:10" ht="20.100000000000001" customHeight="1" x14ac:dyDescent="0.25">
      <c r="B1585" s="5">
        <v>45211</v>
      </c>
      <c r="C1585" s="8" t="str">
        <f>"Ord-10-23-"&amp;TEXT(ROW(C63),"000")</f>
        <v>Ord-10-23-063</v>
      </c>
      <c r="D1585" s="6" t="s">
        <v>22</v>
      </c>
      <c r="E1585" s="10" t="s">
        <v>29</v>
      </c>
      <c r="F1585" s="10" t="s">
        <v>40</v>
      </c>
      <c r="G1585" s="10" t="s">
        <v>57</v>
      </c>
      <c r="H1585" s="10">
        <v>4000</v>
      </c>
      <c r="I1585" s="6">
        <v>2</v>
      </c>
      <c r="J1585" s="6">
        <f>H1585*I1585</f>
        <v>8000</v>
      </c>
    </row>
    <row r="1586" spans="2:10" ht="20.100000000000001" customHeight="1" x14ac:dyDescent="0.25">
      <c r="B1586" s="5">
        <v>45211</v>
      </c>
      <c r="C1586" s="8" t="str">
        <f>"Ord-10-23-"&amp;TEXT(ROW(C64),"000")</f>
        <v>Ord-10-23-064</v>
      </c>
      <c r="D1586" s="6" t="s">
        <v>24</v>
      </c>
      <c r="E1586" s="10" t="s">
        <v>30</v>
      </c>
      <c r="F1586" s="10" t="s">
        <v>90</v>
      </c>
      <c r="G1586" s="10" t="s">
        <v>86</v>
      </c>
      <c r="H1586" s="10">
        <v>7500</v>
      </c>
      <c r="I1586" s="6">
        <v>1</v>
      </c>
      <c r="J1586" s="6">
        <f>H1586*I1586</f>
        <v>7500</v>
      </c>
    </row>
    <row r="1587" spans="2:10" ht="20.100000000000001" customHeight="1" x14ac:dyDescent="0.25">
      <c r="B1587" s="5">
        <v>45211</v>
      </c>
      <c r="C1587" s="8" t="str">
        <f>"Ord-10-23-"&amp;TEXT(ROW(C65),"000")</f>
        <v>Ord-10-23-065</v>
      </c>
      <c r="D1587" s="6" t="s">
        <v>21</v>
      </c>
      <c r="E1587" s="10" t="s">
        <v>27</v>
      </c>
      <c r="F1587" s="10" t="s">
        <v>41</v>
      </c>
      <c r="G1587" s="10" t="s">
        <v>64</v>
      </c>
      <c r="H1587" s="10">
        <v>2500</v>
      </c>
      <c r="I1587" s="6">
        <v>2</v>
      </c>
      <c r="J1587" s="6">
        <f>H1587*I1587</f>
        <v>5000</v>
      </c>
    </row>
    <row r="1588" spans="2:10" ht="20.100000000000001" customHeight="1" x14ac:dyDescent="0.25">
      <c r="B1588" s="5">
        <v>45212</v>
      </c>
      <c r="C1588" s="8" t="str">
        <f>"Ord-10-23-"&amp;TEXT(ROW(C66),"000")</f>
        <v>Ord-10-23-066</v>
      </c>
      <c r="D1588" s="6" t="s">
        <v>12</v>
      </c>
      <c r="E1588" s="10" t="s">
        <v>35</v>
      </c>
      <c r="F1588" s="12" t="s">
        <v>90</v>
      </c>
      <c r="G1588" s="10" t="s">
        <v>58</v>
      </c>
      <c r="H1588" s="10">
        <v>7500</v>
      </c>
      <c r="I1588" s="6">
        <v>5</v>
      </c>
      <c r="J1588" s="6">
        <f>H1588*I1588</f>
        <v>37500</v>
      </c>
    </row>
    <row r="1589" spans="2:10" ht="20.100000000000001" customHeight="1" x14ac:dyDescent="0.25">
      <c r="B1589" s="5">
        <v>45212</v>
      </c>
      <c r="C1589" s="8" t="str">
        <f>"Ord-10-23-"&amp;TEXT(ROW(C67),"000")</f>
        <v>Ord-10-23-067</v>
      </c>
      <c r="D1589" s="6" t="s">
        <v>8</v>
      </c>
      <c r="E1589" s="10" t="s">
        <v>28</v>
      </c>
      <c r="F1589" s="10" t="s">
        <v>28</v>
      </c>
      <c r="G1589" s="10" t="s">
        <v>71</v>
      </c>
      <c r="H1589" s="10">
        <v>850</v>
      </c>
      <c r="I1589" s="6">
        <v>3</v>
      </c>
      <c r="J1589" s="6">
        <f>H1589*I1589</f>
        <v>2550</v>
      </c>
    </row>
    <row r="1590" spans="2:10" ht="20.100000000000001" customHeight="1" x14ac:dyDescent="0.25">
      <c r="B1590" s="5">
        <v>45212</v>
      </c>
      <c r="C1590" s="8" t="str">
        <f>"Ord-10-23-"&amp;TEXT(ROW(C68),"000")</f>
        <v>Ord-10-23-068</v>
      </c>
      <c r="D1590" s="6" t="s">
        <v>10</v>
      </c>
      <c r="E1590" s="10" t="s">
        <v>27</v>
      </c>
      <c r="F1590" s="10" t="s">
        <v>42</v>
      </c>
      <c r="G1590" s="10" t="s">
        <v>42</v>
      </c>
      <c r="H1590" s="10">
        <v>2500</v>
      </c>
      <c r="I1590" s="6">
        <v>2</v>
      </c>
      <c r="J1590" s="6">
        <f>H1590*I1590</f>
        <v>5000</v>
      </c>
    </row>
    <row r="1591" spans="2:10" ht="20.100000000000001" customHeight="1" x14ac:dyDescent="0.25">
      <c r="B1591" s="5">
        <v>45212</v>
      </c>
      <c r="C1591" s="8" t="str">
        <f>"Ord-10-23-"&amp;TEXT(ROW(C69),"000")</f>
        <v>Ord-10-23-069</v>
      </c>
      <c r="D1591" s="6" t="s">
        <v>7</v>
      </c>
      <c r="E1591" s="10" t="s">
        <v>27</v>
      </c>
      <c r="F1591" s="10" t="s">
        <v>38</v>
      </c>
      <c r="G1591" s="10" t="s">
        <v>53</v>
      </c>
      <c r="H1591" s="10">
        <v>5500</v>
      </c>
      <c r="I1591" s="6">
        <v>2</v>
      </c>
      <c r="J1591" s="6">
        <f>H1591*I1591</f>
        <v>11000</v>
      </c>
    </row>
    <row r="1592" spans="2:10" ht="20.100000000000001" customHeight="1" x14ac:dyDescent="0.25">
      <c r="B1592" s="5">
        <v>45212</v>
      </c>
      <c r="C1592" s="8" t="str">
        <f>"Ord-10-23-"&amp;TEXT(ROW(C70),"000")</f>
        <v>Ord-10-23-070</v>
      </c>
      <c r="D1592" s="6" t="s">
        <v>10</v>
      </c>
      <c r="E1592" s="10" t="s">
        <v>27</v>
      </c>
      <c r="F1592" s="10" t="s">
        <v>38</v>
      </c>
      <c r="G1592" s="10" t="s">
        <v>54</v>
      </c>
      <c r="H1592" s="10">
        <v>5200</v>
      </c>
      <c r="I1592" s="6">
        <v>1</v>
      </c>
      <c r="J1592" s="6">
        <f>H1592*I1592</f>
        <v>5200</v>
      </c>
    </row>
    <row r="1593" spans="2:10" ht="20.100000000000001" customHeight="1" x14ac:dyDescent="0.25">
      <c r="B1593" s="5">
        <v>45213</v>
      </c>
      <c r="C1593" s="8" t="str">
        <f>"Ord-10-23-"&amp;TEXT(ROW(C71),"000")</f>
        <v>Ord-10-23-071</v>
      </c>
      <c r="D1593" s="6" t="s">
        <v>14</v>
      </c>
      <c r="E1593" s="10" t="s">
        <v>33</v>
      </c>
      <c r="F1593" s="10" t="s">
        <v>47</v>
      </c>
      <c r="G1593" s="10" t="s">
        <v>65</v>
      </c>
      <c r="H1593" s="10">
        <v>25</v>
      </c>
      <c r="I1593" s="6">
        <v>260</v>
      </c>
      <c r="J1593" s="6">
        <f>H1593*I1593</f>
        <v>6500</v>
      </c>
    </row>
    <row r="1594" spans="2:10" ht="20.100000000000001" customHeight="1" x14ac:dyDescent="0.25">
      <c r="B1594" s="5">
        <v>45213</v>
      </c>
      <c r="C1594" s="8" t="str">
        <f>"Ord-10-23-"&amp;TEXT(ROW(C72),"000")</f>
        <v>Ord-10-23-072</v>
      </c>
      <c r="D1594" s="6" t="s">
        <v>21</v>
      </c>
      <c r="E1594" s="10" t="s">
        <v>31</v>
      </c>
      <c r="F1594" s="10" t="s">
        <v>45</v>
      </c>
      <c r="G1594" s="10" t="s">
        <v>59</v>
      </c>
      <c r="H1594" s="10">
        <v>4000</v>
      </c>
      <c r="I1594" s="6">
        <v>2</v>
      </c>
      <c r="J1594" s="6">
        <f>H1594*I1594</f>
        <v>8000</v>
      </c>
    </row>
    <row r="1595" spans="2:10" ht="20.100000000000001" customHeight="1" x14ac:dyDescent="0.25">
      <c r="B1595" s="5">
        <v>45213</v>
      </c>
      <c r="C1595" s="8" t="str">
        <f>"Ord-10-23-"&amp;TEXT(ROW(C73),"000")</f>
        <v>Ord-10-23-073</v>
      </c>
      <c r="D1595" s="6" t="s">
        <v>10</v>
      </c>
      <c r="E1595" s="10" t="s">
        <v>36</v>
      </c>
      <c r="F1595" s="10" t="s">
        <v>36</v>
      </c>
      <c r="G1595" s="10" t="s">
        <v>41</v>
      </c>
      <c r="H1595" s="10">
        <v>2000</v>
      </c>
      <c r="I1595" s="6">
        <v>3</v>
      </c>
      <c r="J1595" s="6">
        <f>H1595*I1595</f>
        <v>6000</v>
      </c>
    </row>
    <row r="1596" spans="2:10" ht="20.100000000000001" customHeight="1" x14ac:dyDescent="0.25">
      <c r="B1596" s="5">
        <v>45213</v>
      </c>
      <c r="C1596" s="8" t="str">
        <f>"Ord-10-23-"&amp;TEXT(ROW(C74),"000")</f>
        <v>Ord-10-23-074</v>
      </c>
      <c r="D1596" s="6" t="s">
        <v>19</v>
      </c>
      <c r="E1596" s="10" t="s">
        <v>29</v>
      </c>
      <c r="F1596" s="10" t="s">
        <v>40</v>
      </c>
      <c r="G1596" s="10" t="s">
        <v>84</v>
      </c>
      <c r="H1596" s="10">
        <v>7500</v>
      </c>
      <c r="I1596" s="6">
        <v>2</v>
      </c>
      <c r="J1596" s="6">
        <f>H1596*I1596</f>
        <v>15000</v>
      </c>
    </row>
    <row r="1597" spans="2:10" ht="20.100000000000001" customHeight="1" x14ac:dyDescent="0.25">
      <c r="B1597" s="5">
        <v>45213</v>
      </c>
      <c r="C1597" s="8" t="str">
        <f>"Ord-10-23-"&amp;TEXT(ROW(C75),"000")</f>
        <v>Ord-10-23-075</v>
      </c>
      <c r="D1597" s="6" t="s">
        <v>20</v>
      </c>
      <c r="E1597" s="10" t="s">
        <v>30</v>
      </c>
      <c r="F1597" s="10" t="s">
        <v>90</v>
      </c>
      <c r="G1597" s="10" t="s">
        <v>86</v>
      </c>
      <c r="H1597" s="10">
        <v>7500</v>
      </c>
      <c r="I1597" s="6">
        <v>2</v>
      </c>
      <c r="J1597" s="6">
        <f>H1597*I1597</f>
        <v>15000</v>
      </c>
    </row>
    <row r="1598" spans="2:10" ht="20.100000000000001" customHeight="1" x14ac:dyDescent="0.25">
      <c r="B1598" s="5">
        <v>45214</v>
      </c>
      <c r="C1598" s="8" t="str">
        <f>"Ord-10-23-"&amp;TEXT(ROW(C76),"000")</f>
        <v>Ord-10-23-076</v>
      </c>
      <c r="D1598" s="6" t="s">
        <v>17</v>
      </c>
      <c r="E1598" s="10" t="s">
        <v>32</v>
      </c>
      <c r="F1598" s="10" t="s">
        <v>44</v>
      </c>
      <c r="G1598" s="10" t="s">
        <v>72</v>
      </c>
      <c r="H1598" s="10">
        <v>2200</v>
      </c>
      <c r="I1598" s="6">
        <v>1</v>
      </c>
      <c r="J1598" s="6">
        <f>H1598*I1598</f>
        <v>2200</v>
      </c>
    </row>
    <row r="1599" spans="2:10" ht="20.100000000000001" customHeight="1" x14ac:dyDescent="0.25">
      <c r="B1599" s="5">
        <v>45214</v>
      </c>
      <c r="C1599" s="8" t="str">
        <f>"Ord-10-23-"&amp;TEXT(ROW(C77),"000")</f>
        <v>Ord-10-23-077</v>
      </c>
      <c r="D1599" s="6" t="s">
        <v>25</v>
      </c>
      <c r="E1599" s="10" t="s">
        <v>29</v>
      </c>
      <c r="F1599" s="10" t="s">
        <v>40</v>
      </c>
      <c r="G1599" s="10" t="s">
        <v>57</v>
      </c>
      <c r="H1599" s="10">
        <v>4000</v>
      </c>
      <c r="I1599" s="6">
        <v>2</v>
      </c>
      <c r="J1599" s="6">
        <f>H1599*I1599</f>
        <v>8000</v>
      </c>
    </row>
    <row r="1600" spans="2:10" ht="20.100000000000001" customHeight="1" x14ac:dyDescent="0.25">
      <c r="B1600" s="5">
        <v>45214</v>
      </c>
      <c r="C1600" s="8" t="str">
        <f>"Ord-10-23-"&amp;TEXT(ROW(C78),"000")</f>
        <v>Ord-10-23-078</v>
      </c>
      <c r="D1600" s="6" t="s">
        <v>7</v>
      </c>
      <c r="E1600" s="10" t="s">
        <v>30</v>
      </c>
      <c r="F1600" s="10" t="s">
        <v>90</v>
      </c>
      <c r="G1600" s="10" t="s">
        <v>59</v>
      </c>
      <c r="H1600" s="10">
        <v>4800</v>
      </c>
      <c r="I1600" s="6">
        <v>1</v>
      </c>
      <c r="J1600" s="6">
        <f>H1600*I1600</f>
        <v>4800</v>
      </c>
    </row>
    <row r="1601" spans="2:10" ht="20.100000000000001" customHeight="1" x14ac:dyDescent="0.25">
      <c r="B1601" s="5">
        <v>45214</v>
      </c>
      <c r="C1601" s="8" t="str">
        <f>"Ord-10-23-"&amp;TEXT(ROW(C79),"000")</f>
        <v>Ord-10-23-079</v>
      </c>
      <c r="D1601" s="6" t="s">
        <v>15</v>
      </c>
      <c r="E1601" s="10" t="s">
        <v>27</v>
      </c>
      <c r="F1601" s="10" t="s">
        <v>50</v>
      </c>
      <c r="G1601" s="10" t="s">
        <v>53</v>
      </c>
      <c r="H1601" s="10">
        <v>3500</v>
      </c>
      <c r="I1601" s="6">
        <v>5</v>
      </c>
      <c r="J1601" s="6">
        <f>H1601*I1601</f>
        <v>17500</v>
      </c>
    </row>
    <row r="1602" spans="2:10" ht="20.100000000000001" customHeight="1" x14ac:dyDescent="0.25">
      <c r="B1602" s="5">
        <v>45214</v>
      </c>
      <c r="C1602" s="8" t="str">
        <f>"Ord-10-23-"&amp;TEXT(ROW(C80),"000")</f>
        <v>Ord-10-23-080</v>
      </c>
      <c r="D1602" s="6" t="s">
        <v>23</v>
      </c>
      <c r="E1602" s="10" t="s">
        <v>27</v>
      </c>
      <c r="F1602" s="10" t="s">
        <v>38</v>
      </c>
      <c r="G1602" s="10" t="s">
        <v>53</v>
      </c>
      <c r="H1602" s="13">
        <v>5500</v>
      </c>
      <c r="I1602" s="6">
        <v>1</v>
      </c>
      <c r="J1602" s="6">
        <f>H1602*I1602</f>
        <v>5500</v>
      </c>
    </row>
    <row r="1603" spans="2:10" ht="20.100000000000001" customHeight="1" x14ac:dyDescent="0.25">
      <c r="B1603" s="5">
        <v>45215</v>
      </c>
      <c r="C1603" s="8" t="str">
        <f>"Ord-10-23-"&amp;TEXT(ROW(C81),"000")</f>
        <v>Ord-10-23-081</v>
      </c>
      <c r="D1603" s="6" t="s">
        <v>14</v>
      </c>
      <c r="E1603" s="10" t="s">
        <v>31</v>
      </c>
      <c r="F1603" s="10" t="s">
        <v>43</v>
      </c>
      <c r="G1603" s="10" t="s">
        <v>76</v>
      </c>
      <c r="H1603" s="10">
        <v>4800</v>
      </c>
      <c r="I1603" s="6">
        <v>3</v>
      </c>
      <c r="J1603" s="6">
        <f>H1603*I1603</f>
        <v>14400</v>
      </c>
    </row>
    <row r="1604" spans="2:10" ht="20.100000000000001" customHeight="1" x14ac:dyDescent="0.25">
      <c r="B1604" s="5">
        <v>45215</v>
      </c>
      <c r="C1604" s="8" t="str">
        <f>"Ord-10-23-"&amp;TEXT(ROW(C82),"000")</f>
        <v>Ord-10-23-082</v>
      </c>
      <c r="D1604" s="6" t="s">
        <v>16</v>
      </c>
      <c r="E1604" s="10" t="s">
        <v>29</v>
      </c>
      <c r="F1604" s="10" t="s">
        <v>40</v>
      </c>
      <c r="G1604" s="10" t="s">
        <v>84</v>
      </c>
      <c r="H1604" s="10">
        <v>7500</v>
      </c>
      <c r="I1604" s="6">
        <v>4</v>
      </c>
      <c r="J1604" s="6">
        <f>H1604*I1604</f>
        <v>30000</v>
      </c>
    </row>
    <row r="1605" spans="2:10" ht="20.100000000000001" customHeight="1" x14ac:dyDescent="0.25">
      <c r="B1605" s="5">
        <v>45215</v>
      </c>
      <c r="C1605" s="8" t="str">
        <f>"Ord-10-23-"&amp;TEXT(ROW(C83),"000")</f>
        <v>Ord-10-23-083</v>
      </c>
      <c r="D1605" s="6" t="s">
        <v>9</v>
      </c>
      <c r="E1605" s="10" t="s">
        <v>30</v>
      </c>
      <c r="F1605" s="10" t="s">
        <v>90</v>
      </c>
      <c r="G1605" s="10" t="s">
        <v>59</v>
      </c>
      <c r="H1605" s="10">
        <v>4800</v>
      </c>
      <c r="I1605" s="6">
        <v>2</v>
      </c>
      <c r="J1605" s="6">
        <f>H1605*I1605</f>
        <v>9600</v>
      </c>
    </row>
    <row r="1606" spans="2:10" ht="20.100000000000001" customHeight="1" x14ac:dyDescent="0.25">
      <c r="B1606" s="5">
        <v>45215</v>
      </c>
      <c r="C1606" s="8" t="str">
        <f>"Ord-10-23-"&amp;TEXT(ROW(C84),"000")</f>
        <v>Ord-10-23-084</v>
      </c>
      <c r="D1606" s="6" t="s">
        <v>22</v>
      </c>
      <c r="E1606" s="10" t="s">
        <v>30</v>
      </c>
      <c r="F1606" s="10" t="s">
        <v>90</v>
      </c>
      <c r="G1606" s="10" t="s">
        <v>86</v>
      </c>
      <c r="H1606" s="10">
        <v>7500</v>
      </c>
      <c r="I1606" s="6">
        <v>1</v>
      </c>
      <c r="J1606" s="6">
        <f>H1606*I1606</f>
        <v>7500</v>
      </c>
    </row>
    <row r="1607" spans="2:10" ht="20.100000000000001" customHeight="1" x14ac:dyDescent="0.25">
      <c r="B1607" s="5">
        <v>45215</v>
      </c>
      <c r="C1607" s="8" t="str">
        <f>"Ord-10-23-"&amp;TEXT(ROW(C85),"000")</f>
        <v>Ord-10-23-085</v>
      </c>
      <c r="D1607" s="6" t="s">
        <v>14</v>
      </c>
      <c r="E1607" s="10" t="s">
        <v>34</v>
      </c>
      <c r="F1607" s="10" t="s">
        <v>49</v>
      </c>
      <c r="G1607" s="10" t="s">
        <v>68</v>
      </c>
      <c r="H1607" s="10">
        <v>4000</v>
      </c>
      <c r="I1607" s="6">
        <v>2</v>
      </c>
      <c r="J1607" s="6">
        <f>H1607*I1607</f>
        <v>8000</v>
      </c>
    </row>
    <row r="1608" spans="2:10" ht="20.100000000000001" customHeight="1" x14ac:dyDescent="0.25">
      <c r="B1608" s="5">
        <v>45216</v>
      </c>
      <c r="C1608" s="8" t="str">
        <f>"Ord-10-23-"&amp;TEXT(ROW(C86),"000")</f>
        <v>Ord-10-23-086</v>
      </c>
      <c r="D1608" s="6" t="s">
        <v>25</v>
      </c>
      <c r="E1608" s="10" t="s">
        <v>35</v>
      </c>
      <c r="F1608" s="12" t="s">
        <v>90</v>
      </c>
      <c r="G1608" s="10" t="s">
        <v>77</v>
      </c>
      <c r="H1608" s="10">
        <v>8500</v>
      </c>
      <c r="I1608" s="6">
        <v>4</v>
      </c>
      <c r="J1608" s="6">
        <f>H1608*I1608</f>
        <v>34000</v>
      </c>
    </row>
    <row r="1609" spans="2:10" ht="20.100000000000001" customHeight="1" x14ac:dyDescent="0.25">
      <c r="B1609" s="5">
        <v>45216</v>
      </c>
      <c r="C1609" s="8" t="str">
        <f>"Ord-10-23-"&amp;TEXT(ROW(C87),"000")</f>
        <v>Ord-10-23-087</v>
      </c>
      <c r="D1609" s="6" t="s">
        <v>7</v>
      </c>
      <c r="E1609" s="10" t="s">
        <v>32</v>
      </c>
      <c r="F1609" s="10" t="s">
        <v>44</v>
      </c>
      <c r="G1609" s="10" t="s">
        <v>62</v>
      </c>
      <c r="H1609" s="10">
        <v>1200</v>
      </c>
      <c r="I1609" s="6">
        <v>3</v>
      </c>
      <c r="J1609" s="6">
        <f>H1609*I1609</f>
        <v>3600</v>
      </c>
    </row>
    <row r="1610" spans="2:10" ht="20.100000000000001" customHeight="1" x14ac:dyDescent="0.25">
      <c r="B1610" s="5">
        <v>45216</v>
      </c>
      <c r="C1610" s="8" t="str">
        <f>"Ord-10-23-"&amp;TEXT(ROW(C88),"000")</f>
        <v>Ord-10-23-088</v>
      </c>
      <c r="D1610" s="6" t="s">
        <v>19</v>
      </c>
      <c r="E1610" s="10" t="s">
        <v>33</v>
      </c>
      <c r="F1610" s="10" t="s">
        <v>46</v>
      </c>
      <c r="G1610" s="10" t="s">
        <v>65</v>
      </c>
      <c r="H1610" s="10">
        <v>15</v>
      </c>
      <c r="I1610" s="6">
        <v>100</v>
      </c>
      <c r="J1610" s="6">
        <f>H1610*I1610</f>
        <v>1500</v>
      </c>
    </row>
    <row r="1611" spans="2:10" ht="20.100000000000001" customHeight="1" x14ac:dyDescent="0.25">
      <c r="B1611" s="5">
        <v>45216</v>
      </c>
      <c r="C1611" s="8" t="str">
        <f>"Ord-10-23-"&amp;TEXT(ROW(C89),"000")</f>
        <v>Ord-10-23-089</v>
      </c>
      <c r="D1611" s="6" t="s">
        <v>14</v>
      </c>
      <c r="E1611" s="10" t="s">
        <v>31</v>
      </c>
      <c r="F1611" s="10" t="s">
        <v>48</v>
      </c>
      <c r="G1611" s="10" t="s">
        <v>66</v>
      </c>
      <c r="H1611" s="10">
        <v>3500</v>
      </c>
      <c r="I1611" s="6">
        <v>2</v>
      </c>
      <c r="J1611" s="6">
        <f>H1611*I1611</f>
        <v>7000</v>
      </c>
    </row>
    <row r="1612" spans="2:10" ht="20.100000000000001" customHeight="1" x14ac:dyDescent="0.25">
      <c r="B1612" s="5">
        <v>45216</v>
      </c>
      <c r="C1612" s="8" t="str">
        <f>"Ord-10-23-"&amp;TEXT(ROW(C90),"000")</f>
        <v>Ord-10-23-090</v>
      </c>
      <c r="D1612" s="6" t="s">
        <v>18</v>
      </c>
      <c r="E1612" s="10" t="s">
        <v>30</v>
      </c>
      <c r="F1612" s="10" t="s">
        <v>90</v>
      </c>
      <c r="G1612" s="10" t="s">
        <v>59</v>
      </c>
      <c r="H1612" s="10">
        <v>4800</v>
      </c>
      <c r="I1612" s="6">
        <v>1</v>
      </c>
      <c r="J1612" s="6">
        <f>H1612*I1612</f>
        <v>4800</v>
      </c>
    </row>
    <row r="1613" spans="2:10" ht="20.100000000000001" customHeight="1" x14ac:dyDescent="0.25">
      <c r="B1613" s="5">
        <v>45217</v>
      </c>
      <c r="C1613" s="8" t="str">
        <f>"Ord-10-23-"&amp;TEXT(ROW(C91),"000")</f>
        <v>Ord-10-23-091</v>
      </c>
      <c r="D1613" s="6" t="s">
        <v>16</v>
      </c>
      <c r="E1613" s="10" t="s">
        <v>31</v>
      </c>
      <c r="F1613" s="10" t="s">
        <v>43</v>
      </c>
      <c r="G1613" s="10" t="s">
        <v>67</v>
      </c>
      <c r="H1613" s="10">
        <v>14500</v>
      </c>
      <c r="I1613" s="6">
        <v>2</v>
      </c>
      <c r="J1613" s="6">
        <f>H1613*I1613</f>
        <v>29000</v>
      </c>
    </row>
    <row r="1614" spans="2:10" ht="20.100000000000001" customHeight="1" x14ac:dyDescent="0.25">
      <c r="B1614" s="5">
        <v>45217</v>
      </c>
      <c r="C1614" s="8" t="str">
        <f>"Ord-10-23-"&amp;TEXT(ROW(C92),"000")</f>
        <v>Ord-10-23-092</v>
      </c>
      <c r="D1614" s="6" t="s">
        <v>24</v>
      </c>
      <c r="E1614" s="10" t="s">
        <v>29</v>
      </c>
      <c r="F1614" s="10" t="s">
        <v>40</v>
      </c>
      <c r="G1614" s="10" t="s">
        <v>57</v>
      </c>
      <c r="H1614" s="10">
        <v>4000</v>
      </c>
      <c r="I1614" s="6">
        <v>5</v>
      </c>
      <c r="J1614" s="6">
        <f>H1614*I1614</f>
        <v>20000</v>
      </c>
    </row>
    <row r="1615" spans="2:10" ht="20.100000000000001" customHeight="1" x14ac:dyDescent="0.25">
      <c r="B1615" s="5">
        <v>45217</v>
      </c>
      <c r="C1615" s="8" t="str">
        <f>"Ord-10-23-"&amp;TEXT(ROW(C93),"000")</f>
        <v>Ord-10-23-093</v>
      </c>
      <c r="D1615" s="6" t="s">
        <v>14</v>
      </c>
      <c r="E1615" s="10" t="s">
        <v>30</v>
      </c>
      <c r="F1615" s="10" t="s">
        <v>90</v>
      </c>
      <c r="G1615" s="10" t="s">
        <v>86</v>
      </c>
      <c r="H1615" s="10">
        <v>7500</v>
      </c>
      <c r="I1615" s="6">
        <v>5</v>
      </c>
      <c r="J1615" s="6">
        <f>H1615*I1615</f>
        <v>37500</v>
      </c>
    </row>
    <row r="1616" spans="2:10" ht="20.100000000000001" customHeight="1" x14ac:dyDescent="0.25">
      <c r="B1616" s="5">
        <v>45217</v>
      </c>
      <c r="C1616" s="8" t="str">
        <f>"Ord-10-23-"&amp;TEXT(ROW(C94),"000")</f>
        <v>Ord-10-23-094</v>
      </c>
      <c r="D1616" s="6" t="s">
        <v>18</v>
      </c>
      <c r="E1616" s="10" t="s">
        <v>34</v>
      </c>
      <c r="F1616" s="10" t="s">
        <v>49</v>
      </c>
      <c r="G1616" s="10" t="s">
        <v>68</v>
      </c>
      <c r="H1616" s="10">
        <v>4000</v>
      </c>
      <c r="I1616" s="6">
        <v>4</v>
      </c>
      <c r="J1616" s="6">
        <f>H1616*I1616</f>
        <v>16000</v>
      </c>
    </row>
    <row r="1617" spans="2:10" ht="20.100000000000001" customHeight="1" x14ac:dyDescent="0.25">
      <c r="B1617" s="5">
        <v>45217</v>
      </c>
      <c r="C1617" s="8" t="str">
        <f>"Ord-10-23-"&amp;TEXT(ROW(C95),"000")</f>
        <v>Ord-10-23-095</v>
      </c>
      <c r="D1617" s="6" t="s">
        <v>14</v>
      </c>
      <c r="E1617" s="10" t="s">
        <v>34</v>
      </c>
      <c r="F1617" s="10" t="s">
        <v>49</v>
      </c>
      <c r="G1617" s="10" t="s">
        <v>68</v>
      </c>
      <c r="H1617" s="10">
        <v>4000</v>
      </c>
      <c r="I1617" s="6">
        <v>3</v>
      </c>
      <c r="J1617" s="6">
        <f>H1617*I1617</f>
        <v>12000</v>
      </c>
    </row>
    <row r="1618" spans="2:10" ht="20.100000000000001" customHeight="1" x14ac:dyDescent="0.25">
      <c r="B1618" s="5">
        <v>45218</v>
      </c>
      <c r="C1618" s="8" t="str">
        <f>"Ord-10-23-"&amp;TEXT(ROW(C96),"000")</f>
        <v>Ord-10-23-096</v>
      </c>
      <c r="D1618" s="6" t="s">
        <v>13</v>
      </c>
      <c r="E1618" s="10" t="s">
        <v>28</v>
      </c>
      <c r="F1618" s="10" t="s">
        <v>28</v>
      </c>
      <c r="G1618" s="10" t="s">
        <v>58</v>
      </c>
      <c r="H1618" s="10">
        <v>1000</v>
      </c>
      <c r="I1618" s="6">
        <v>1</v>
      </c>
      <c r="J1618" s="6">
        <f>H1618*I1618</f>
        <v>1000</v>
      </c>
    </row>
    <row r="1619" spans="2:10" ht="20.100000000000001" customHeight="1" x14ac:dyDescent="0.25">
      <c r="B1619" s="5">
        <v>45218</v>
      </c>
      <c r="C1619" s="8" t="str">
        <f>"Ord-10-23-"&amp;TEXT(ROW(C97),"000")</f>
        <v>Ord-10-23-097</v>
      </c>
      <c r="D1619" s="6" t="s">
        <v>20</v>
      </c>
      <c r="E1619" s="10" t="s">
        <v>32</v>
      </c>
      <c r="F1619" s="10" t="s">
        <v>44</v>
      </c>
      <c r="G1619" s="10" t="s">
        <v>62</v>
      </c>
      <c r="H1619" s="10">
        <v>1200</v>
      </c>
      <c r="I1619" s="6">
        <v>5</v>
      </c>
      <c r="J1619" s="6">
        <f>H1619*I1619</f>
        <v>6000</v>
      </c>
    </row>
    <row r="1620" spans="2:10" ht="20.100000000000001" customHeight="1" x14ac:dyDescent="0.25">
      <c r="B1620" s="5">
        <v>45218</v>
      </c>
      <c r="C1620" s="8" t="str">
        <f>"Ord-10-23-"&amp;TEXT(ROW(C98),"000")</f>
        <v>Ord-10-23-098</v>
      </c>
      <c r="D1620" s="6" t="s">
        <v>22</v>
      </c>
      <c r="E1620" s="10" t="s">
        <v>33</v>
      </c>
      <c r="F1620" s="10" t="s">
        <v>46</v>
      </c>
      <c r="G1620" s="10" t="s">
        <v>65</v>
      </c>
      <c r="H1620" s="10">
        <v>15</v>
      </c>
      <c r="I1620" s="6">
        <v>200</v>
      </c>
      <c r="J1620" s="6">
        <f>H1620*I1620</f>
        <v>3000</v>
      </c>
    </row>
    <row r="1621" spans="2:10" ht="20.100000000000001" customHeight="1" x14ac:dyDescent="0.25">
      <c r="B1621" s="5">
        <v>45218</v>
      </c>
      <c r="C1621" s="8" t="str">
        <f>"Ord-10-23-"&amp;TEXT(ROW(C99),"000")</f>
        <v>Ord-10-23-099</v>
      </c>
      <c r="D1621" s="6" t="s">
        <v>20</v>
      </c>
      <c r="E1621" s="10" t="s">
        <v>31</v>
      </c>
      <c r="F1621" s="10" t="s">
        <v>45</v>
      </c>
      <c r="G1621" s="10" t="s">
        <v>66</v>
      </c>
      <c r="H1621" s="10">
        <v>2300</v>
      </c>
      <c r="I1621" s="6">
        <v>4</v>
      </c>
      <c r="J1621" s="6">
        <f>H1621*I1621</f>
        <v>9200</v>
      </c>
    </row>
    <row r="1622" spans="2:10" ht="20.100000000000001" customHeight="1" x14ac:dyDescent="0.25">
      <c r="B1622" s="5">
        <v>45218</v>
      </c>
      <c r="C1622" s="8" t="str">
        <f>"Ord-10-23-"&amp;TEXT(ROW(C100),"000")</f>
        <v>Ord-10-23-100</v>
      </c>
      <c r="D1622" s="6" t="s">
        <v>18</v>
      </c>
      <c r="E1622" s="10" t="s">
        <v>27</v>
      </c>
      <c r="F1622" s="10" t="s">
        <v>42</v>
      </c>
      <c r="G1622" s="10" t="s">
        <v>42</v>
      </c>
      <c r="H1622" s="10">
        <v>2500</v>
      </c>
      <c r="I1622" s="6">
        <v>1</v>
      </c>
      <c r="J1622" s="6">
        <f>H1622*I1622</f>
        <v>2500</v>
      </c>
    </row>
    <row r="1623" spans="2:10" ht="20.100000000000001" customHeight="1" x14ac:dyDescent="0.25">
      <c r="B1623" s="5">
        <v>45219</v>
      </c>
      <c r="C1623" s="8" t="str">
        <f>"Ord-10-23-"&amp;TEXT(ROW(C101),"000")</f>
        <v>Ord-10-23-101</v>
      </c>
      <c r="D1623" s="6" t="s">
        <v>8</v>
      </c>
      <c r="E1623" s="10" t="s">
        <v>35</v>
      </c>
      <c r="F1623" s="12" t="s">
        <v>90</v>
      </c>
      <c r="G1623" s="10" t="s">
        <v>79</v>
      </c>
      <c r="H1623" s="10">
        <v>4800</v>
      </c>
      <c r="I1623" s="6">
        <v>1</v>
      </c>
      <c r="J1623" s="6">
        <f>H1623*I1623</f>
        <v>4800</v>
      </c>
    </row>
    <row r="1624" spans="2:10" ht="20.100000000000001" customHeight="1" x14ac:dyDescent="0.25">
      <c r="B1624" s="5">
        <v>45219</v>
      </c>
      <c r="C1624" s="8" t="str">
        <f>"Ord-10-23-"&amp;TEXT(ROW(C102),"000")</f>
        <v>Ord-10-23-102</v>
      </c>
      <c r="D1624" s="6" t="s">
        <v>20</v>
      </c>
      <c r="E1624" s="10" t="s">
        <v>31</v>
      </c>
      <c r="F1624" s="10" t="s">
        <v>43</v>
      </c>
      <c r="G1624" s="10" t="s">
        <v>61</v>
      </c>
      <c r="H1624" s="10">
        <v>18000</v>
      </c>
      <c r="I1624" s="6">
        <v>3</v>
      </c>
      <c r="J1624" s="6">
        <f>H1624*I1624</f>
        <v>54000</v>
      </c>
    </row>
    <row r="1625" spans="2:10" ht="20.100000000000001" customHeight="1" x14ac:dyDescent="0.25">
      <c r="B1625" s="5">
        <v>45219</v>
      </c>
      <c r="C1625" s="8" t="str">
        <f>"Ord-10-23-"&amp;TEXT(ROW(C103),"000")</f>
        <v>Ord-10-23-103</v>
      </c>
      <c r="D1625" s="6" t="s">
        <v>22</v>
      </c>
      <c r="E1625" s="10" t="s">
        <v>31</v>
      </c>
      <c r="F1625" s="10" t="s">
        <v>52</v>
      </c>
      <c r="G1625" s="10" t="s">
        <v>69</v>
      </c>
      <c r="H1625" s="10">
        <v>3500</v>
      </c>
      <c r="I1625" s="6">
        <v>2</v>
      </c>
      <c r="J1625" s="6">
        <f>H1625*I1625</f>
        <v>7000</v>
      </c>
    </row>
    <row r="1626" spans="2:10" ht="20.100000000000001" customHeight="1" x14ac:dyDescent="0.25">
      <c r="B1626" s="5">
        <v>45219</v>
      </c>
      <c r="C1626" s="8" t="str">
        <f>"Ord-10-23-"&amp;TEXT(ROW(C104),"000")</f>
        <v>Ord-10-23-104</v>
      </c>
      <c r="D1626" s="6" t="s">
        <v>10</v>
      </c>
      <c r="E1626" s="10" t="s">
        <v>31</v>
      </c>
      <c r="F1626" s="10" t="s">
        <v>52</v>
      </c>
      <c r="G1626" s="10" t="s">
        <v>73</v>
      </c>
      <c r="H1626" s="10">
        <v>2500</v>
      </c>
      <c r="I1626" s="6">
        <v>1</v>
      </c>
      <c r="J1626" s="6">
        <f>H1626*I1626</f>
        <v>2500</v>
      </c>
    </row>
    <row r="1627" spans="2:10" ht="20.100000000000001" customHeight="1" x14ac:dyDescent="0.25">
      <c r="B1627" s="5">
        <v>45219</v>
      </c>
      <c r="C1627" s="8" t="str">
        <f>"Ord-10-23-"&amp;TEXT(ROW(C105),"000")</f>
        <v>Ord-10-23-105</v>
      </c>
      <c r="D1627" s="6" t="s">
        <v>7</v>
      </c>
      <c r="E1627" s="10" t="s">
        <v>30</v>
      </c>
      <c r="F1627" s="10" t="s">
        <v>90</v>
      </c>
      <c r="G1627" s="10" t="s">
        <v>59</v>
      </c>
      <c r="H1627" s="10">
        <v>18000</v>
      </c>
      <c r="I1627" s="6">
        <v>3</v>
      </c>
      <c r="J1627" s="6">
        <f>H1627*I1627</f>
        <v>54000</v>
      </c>
    </row>
    <row r="1628" spans="2:10" ht="20.100000000000001" customHeight="1" x14ac:dyDescent="0.25">
      <c r="B1628" s="5">
        <v>45220</v>
      </c>
      <c r="C1628" s="8" t="str">
        <f>"Ord-10-23-"&amp;TEXT(ROW(C106),"000")</f>
        <v>Ord-10-23-106</v>
      </c>
      <c r="D1628" s="6" t="s">
        <v>11</v>
      </c>
      <c r="E1628" s="10" t="s">
        <v>35</v>
      </c>
      <c r="F1628" s="12" t="s">
        <v>90</v>
      </c>
      <c r="G1628" s="10" t="s">
        <v>71</v>
      </c>
      <c r="H1628" s="10">
        <v>5500</v>
      </c>
      <c r="I1628" s="6">
        <v>3</v>
      </c>
      <c r="J1628" s="6">
        <f>H1628*I1628</f>
        <v>16500</v>
      </c>
    </row>
    <row r="1629" spans="2:10" ht="20.100000000000001" customHeight="1" x14ac:dyDescent="0.25">
      <c r="B1629" s="5">
        <v>45220</v>
      </c>
      <c r="C1629" s="8" t="str">
        <f>"Ord-10-23-"&amp;TEXT(ROW(C107),"000")</f>
        <v>Ord-10-23-107</v>
      </c>
      <c r="D1629" s="6" t="s">
        <v>20</v>
      </c>
      <c r="E1629" s="10" t="s">
        <v>32</v>
      </c>
      <c r="F1629" s="10" t="s">
        <v>44</v>
      </c>
      <c r="G1629" s="10" t="s">
        <v>62</v>
      </c>
      <c r="H1629" s="10">
        <v>1200</v>
      </c>
      <c r="I1629" s="6">
        <v>3</v>
      </c>
      <c r="J1629" s="6">
        <f>H1629*I1629</f>
        <v>3600</v>
      </c>
    </row>
    <row r="1630" spans="2:10" ht="20.100000000000001" customHeight="1" x14ac:dyDescent="0.25">
      <c r="B1630" s="5">
        <v>45220</v>
      </c>
      <c r="C1630" s="8" t="str">
        <f>"Ord-10-23-"&amp;TEXT(ROW(C108),"000")</f>
        <v>Ord-10-23-108</v>
      </c>
      <c r="D1630" s="6" t="s">
        <v>9</v>
      </c>
      <c r="E1630" s="10" t="s">
        <v>32</v>
      </c>
      <c r="F1630" s="10" t="s">
        <v>51</v>
      </c>
      <c r="G1630" s="10" t="s">
        <v>83</v>
      </c>
      <c r="H1630" s="10">
        <v>4000</v>
      </c>
      <c r="I1630" s="6">
        <v>3</v>
      </c>
      <c r="J1630" s="6">
        <f>H1630*I1630</f>
        <v>12000</v>
      </c>
    </row>
    <row r="1631" spans="2:10" ht="20.100000000000001" customHeight="1" x14ac:dyDescent="0.25">
      <c r="B1631" s="5">
        <v>45220</v>
      </c>
      <c r="C1631" s="8" t="str">
        <f>"Ord-10-23-"&amp;TEXT(ROW(C109),"000")</f>
        <v>Ord-10-23-109</v>
      </c>
      <c r="D1631" s="6" t="s">
        <v>20</v>
      </c>
      <c r="E1631" s="10" t="s">
        <v>33</v>
      </c>
      <c r="F1631" s="10" t="s">
        <v>47</v>
      </c>
      <c r="G1631" s="10" t="s">
        <v>65</v>
      </c>
      <c r="H1631" s="10">
        <v>25</v>
      </c>
      <c r="I1631" s="6">
        <v>360</v>
      </c>
      <c r="J1631" s="6">
        <f>H1631*I1631</f>
        <v>9000</v>
      </c>
    </row>
    <row r="1632" spans="2:10" ht="20.100000000000001" customHeight="1" x14ac:dyDescent="0.25">
      <c r="B1632" s="5">
        <v>45220</v>
      </c>
      <c r="C1632" s="8" t="str">
        <f>"Ord-10-23-"&amp;TEXT(ROW(C110),"000")</f>
        <v>Ord-10-23-110</v>
      </c>
      <c r="D1632" s="6" t="s">
        <v>18</v>
      </c>
      <c r="E1632" s="10" t="s">
        <v>29</v>
      </c>
      <c r="F1632" s="10" t="s">
        <v>39</v>
      </c>
      <c r="G1632" s="10" t="s">
        <v>56</v>
      </c>
      <c r="H1632" s="10">
        <v>2500</v>
      </c>
      <c r="I1632" s="6">
        <v>2</v>
      </c>
      <c r="J1632" s="6">
        <f>H1632*I1632</f>
        <v>5000</v>
      </c>
    </row>
    <row r="1633" spans="2:10" ht="20.100000000000001" customHeight="1" x14ac:dyDescent="0.25">
      <c r="B1633" s="5">
        <v>45221</v>
      </c>
      <c r="C1633" s="8" t="str">
        <f>"Ord-10-23-"&amp;TEXT(ROW(C111),"000")</f>
        <v>Ord-10-23-111</v>
      </c>
      <c r="D1633" s="6" t="s">
        <v>16</v>
      </c>
      <c r="E1633" s="10" t="s">
        <v>32</v>
      </c>
      <c r="F1633" s="10" t="s">
        <v>44</v>
      </c>
      <c r="G1633" s="10" t="s">
        <v>62</v>
      </c>
      <c r="H1633" s="10">
        <v>1200</v>
      </c>
      <c r="I1633" s="6">
        <v>3</v>
      </c>
      <c r="J1633" s="6">
        <f>H1633*I1633</f>
        <v>3600</v>
      </c>
    </row>
    <row r="1634" spans="2:10" ht="20.100000000000001" customHeight="1" x14ac:dyDescent="0.25">
      <c r="B1634" s="5">
        <v>45221</v>
      </c>
      <c r="C1634" s="8" t="str">
        <f>"Ord-10-23-"&amp;TEXT(ROW(C112),"000")</f>
        <v>Ord-10-23-112</v>
      </c>
      <c r="D1634" s="6" t="s">
        <v>26</v>
      </c>
      <c r="E1634" s="10" t="s">
        <v>32</v>
      </c>
      <c r="F1634" s="10" t="s">
        <v>44</v>
      </c>
      <c r="G1634" s="10" t="s">
        <v>74</v>
      </c>
      <c r="H1634" s="10">
        <v>1800</v>
      </c>
      <c r="I1634" s="6">
        <v>3</v>
      </c>
      <c r="J1634" s="6">
        <f>H1634*I1634</f>
        <v>5400</v>
      </c>
    </row>
    <row r="1635" spans="2:10" ht="20.100000000000001" customHeight="1" x14ac:dyDescent="0.25">
      <c r="B1635" s="5">
        <v>45221</v>
      </c>
      <c r="C1635" s="8" t="str">
        <f>"Ord-10-23-"&amp;TEXT(ROW(C113),"000")</f>
        <v>Ord-10-23-113</v>
      </c>
      <c r="D1635" s="6" t="s">
        <v>21</v>
      </c>
      <c r="E1635" s="10" t="s">
        <v>31</v>
      </c>
      <c r="F1635" s="10" t="s">
        <v>45</v>
      </c>
      <c r="G1635" s="10" t="s">
        <v>66</v>
      </c>
      <c r="H1635" s="10">
        <v>2300</v>
      </c>
      <c r="I1635" s="6">
        <v>5</v>
      </c>
      <c r="J1635" s="6">
        <f>H1635*I1635</f>
        <v>11500</v>
      </c>
    </row>
    <row r="1636" spans="2:10" ht="20.100000000000001" customHeight="1" x14ac:dyDescent="0.25">
      <c r="B1636" s="5">
        <v>45221</v>
      </c>
      <c r="C1636" s="8" t="str">
        <f>"Ord-10-23-"&amp;TEXT(ROW(C114),"000")</f>
        <v>Ord-10-23-114</v>
      </c>
      <c r="D1636" s="6" t="s">
        <v>7</v>
      </c>
      <c r="E1636" s="10" t="s">
        <v>31</v>
      </c>
      <c r="F1636" s="10" t="s">
        <v>52</v>
      </c>
      <c r="G1636" s="10" t="s">
        <v>73</v>
      </c>
      <c r="H1636" s="10">
        <v>2500</v>
      </c>
      <c r="I1636" s="6">
        <v>2</v>
      </c>
      <c r="J1636" s="6">
        <f>H1636*I1636</f>
        <v>5000</v>
      </c>
    </row>
    <row r="1637" spans="2:10" ht="20.100000000000001" customHeight="1" x14ac:dyDescent="0.25">
      <c r="B1637" s="5">
        <v>45221</v>
      </c>
      <c r="C1637" s="8" t="str">
        <f>"Ord-10-23-"&amp;TEXT(ROW(C115),"000")</f>
        <v>Ord-10-23-115</v>
      </c>
      <c r="D1637" s="6" t="s">
        <v>14</v>
      </c>
      <c r="E1637" s="10" t="s">
        <v>27</v>
      </c>
      <c r="F1637" s="10" t="s">
        <v>38</v>
      </c>
      <c r="G1637" s="10" t="s">
        <v>64</v>
      </c>
      <c r="H1637" s="10">
        <v>4800</v>
      </c>
      <c r="I1637" s="6">
        <v>1</v>
      </c>
      <c r="J1637" s="6">
        <f>H1637*I1637</f>
        <v>4800</v>
      </c>
    </row>
    <row r="1638" spans="2:10" ht="20.100000000000001" customHeight="1" x14ac:dyDescent="0.25">
      <c r="B1638" s="5">
        <v>45222</v>
      </c>
      <c r="C1638" s="8" t="str">
        <f>"Ord-10-23-"&amp;TEXT(ROW(C116),"000")</f>
        <v>Ord-10-23-116</v>
      </c>
      <c r="D1638" s="6" t="s">
        <v>22</v>
      </c>
      <c r="E1638" s="10" t="s">
        <v>28</v>
      </c>
      <c r="F1638" s="10" t="s">
        <v>28</v>
      </c>
      <c r="G1638" s="10" t="s">
        <v>58</v>
      </c>
      <c r="H1638" s="10">
        <v>1000</v>
      </c>
      <c r="I1638" s="6">
        <v>2</v>
      </c>
      <c r="J1638" s="6">
        <f>H1638*I1638</f>
        <v>2000</v>
      </c>
    </row>
    <row r="1639" spans="2:10" ht="20.100000000000001" customHeight="1" x14ac:dyDescent="0.25">
      <c r="B1639" s="5">
        <v>45222</v>
      </c>
      <c r="C1639" s="8" t="str">
        <f>"Ord-10-23-"&amp;TEXT(ROW(C117),"000")</f>
        <v>Ord-10-23-117</v>
      </c>
      <c r="D1639" s="6" t="s">
        <v>21</v>
      </c>
      <c r="E1639" s="10" t="s">
        <v>29</v>
      </c>
      <c r="F1639" s="10" t="s">
        <v>39</v>
      </c>
      <c r="G1639" s="10" t="s">
        <v>60</v>
      </c>
      <c r="H1639" s="10">
        <v>1500</v>
      </c>
      <c r="I1639" s="7">
        <v>4</v>
      </c>
      <c r="J1639" s="6">
        <f>H1639*I1639</f>
        <v>6000</v>
      </c>
    </row>
    <row r="1640" spans="2:10" ht="20.100000000000001" customHeight="1" x14ac:dyDescent="0.25">
      <c r="B1640" s="5">
        <v>45222</v>
      </c>
      <c r="C1640" s="8" t="str">
        <f>"Ord-10-23-"&amp;TEXT(ROW(C118),"000")</f>
        <v>Ord-10-23-118</v>
      </c>
      <c r="D1640" s="6" t="s">
        <v>12</v>
      </c>
      <c r="E1640" s="10" t="s">
        <v>27</v>
      </c>
      <c r="F1640" s="10" t="s">
        <v>42</v>
      </c>
      <c r="G1640" s="10" t="s">
        <v>42</v>
      </c>
      <c r="H1640" s="10">
        <v>2500</v>
      </c>
      <c r="I1640" s="6">
        <v>1</v>
      </c>
      <c r="J1640" s="6">
        <f>H1640*I1640</f>
        <v>2500</v>
      </c>
    </row>
    <row r="1641" spans="2:10" ht="20.100000000000001" customHeight="1" x14ac:dyDescent="0.25">
      <c r="B1641" s="5">
        <v>45222</v>
      </c>
      <c r="C1641" s="8" t="str">
        <f>"Ord-10-23-"&amp;TEXT(ROW(C119),"000")</f>
        <v>Ord-10-23-119</v>
      </c>
      <c r="D1641" s="6" t="s">
        <v>14</v>
      </c>
      <c r="E1641" s="10" t="s">
        <v>27</v>
      </c>
      <c r="F1641" s="10" t="s">
        <v>50</v>
      </c>
      <c r="G1641" s="10" t="s">
        <v>53</v>
      </c>
      <c r="H1641" s="10">
        <v>3500</v>
      </c>
      <c r="I1641" s="6">
        <v>1</v>
      </c>
      <c r="J1641" s="6">
        <f>H1641*I1641</f>
        <v>3500</v>
      </c>
    </row>
    <row r="1642" spans="2:10" ht="20.100000000000001" customHeight="1" x14ac:dyDescent="0.25">
      <c r="B1642" s="5">
        <v>45222</v>
      </c>
      <c r="C1642" s="8" t="str">
        <f>"Ord-10-23-"&amp;TEXT(ROW(C120),"000")</f>
        <v>Ord-10-23-120</v>
      </c>
      <c r="D1642" s="6" t="s">
        <v>9</v>
      </c>
      <c r="E1642" s="10" t="s">
        <v>27</v>
      </c>
      <c r="F1642" s="10" t="s">
        <v>41</v>
      </c>
      <c r="G1642" s="10" t="s">
        <v>54</v>
      </c>
      <c r="H1642" s="10">
        <v>2800</v>
      </c>
      <c r="I1642" s="6">
        <v>4</v>
      </c>
      <c r="J1642" s="6">
        <f>H1642*I1642</f>
        <v>11200</v>
      </c>
    </row>
    <row r="1643" spans="2:10" ht="20.100000000000001" customHeight="1" x14ac:dyDescent="0.25">
      <c r="B1643" s="5">
        <v>45223</v>
      </c>
      <c r="C1643" s="8" t="str">
        <f>"Ord-10-23-"&amp;TEXT(ROW(C121),"000")</f>
        <v>Ord-10-23-121</v>
      </c>
      <c r="D1643" s="6" t="s">
        <v>10</v>
      </c>
      <c r="E1643" s="10" t="s">
        <v>35</v>
      </c>
      <c r="F1643" s="12" t="s">
        <v>90</v>
      </c>
      <c r="G1643" s="10" t="s">
        <v>58</v>
      </c>
      <c r="H1643" s="10">
        <v>7500</v>
      </c>
      <c r="I1643" s="6">
        <v>1</v>
      </c>
      <c r="J1643" s="6">
        <f>H1643*I1643</f>
        <v>7500</v>
      </c>
    </row>
    <row r="1644" spans="2:10" ht="20.100000000000001" customHeight="1" x14ac:dyDescent="0.25">
      <c r="B1644" s="5">
        <v>45223</v>
      </c>
      <c r="C1644" s="8" t="str">
        <f>"Ord-10-23-"&amp;TEXT(ROW(C122),"000")</f>
        <v>Ord-10-23-122</v>
      </c>
      <c r="D1644" s="6" t="s">
        <v>25</v>
      </c>
      <c r="E1644" s="10" t="s">
        <v>28</v>
      </c>
      <c r="F1644" s="10" t="s">
        <v>28</v>
      </c>
      <c r="G1644" s="10" t="s">
        <v>77</v>
      </c>
      <c r="H1644" s="10">
        <v>1200</v>
      </c>
      <c r="I1644" s="7">
        <v>1</v>
      </c>
      <c r="J1644" s="6">
        <f>H1644*I1644</f>
        <v>1200</v>
      </c>
    </row>
    <row r="1645" spans="2:10" ht="20.100000000000001" customHeight="1" x14ac:dyDescent="0.25">
      <c r="B1645" s="5">
        <v>45223</v>
      </c>
      <c r="C1645" s="8" t="str">
        <f>"Ord-10-23-"&amp;TEXT(ROW(C123),"000")</f>
        <v>Ord-10-23-123</v>
      </c>
      <c r="D1645" s="6" t="s">
        <v>23</v>
      </c>
      <c r="E1645" s="10" t="s">
        <v>33</v>
      </c>
      <c r="F1645" s="10" t="s">
        <v>47</v>
      </c>
      <c r="G1645" s="10" t="s">
        <v>65</v>
      </c>
      <c r="H1645" s="10">
        <v>25</v>
      </c>
      <c r="I1645" s="6">
        <v>400</v>
      </c>
      <c r="J1645" s="6">
        <f>H1645*I1645</f>
        <v>10000</v>
      </c>
    </row>
    <row r="1646" spans="2:10" ht="20.100000000000001" customHeight="1" x14ac:dyDescent="0.25">
      <c r="B1646" s="5">
        <v>45223</v>
      </c>
      <c r="C1646" s="8" t="str">
        <f>"Ord-10-23-"&amp;TEXT(ROW(C124),"000")</f>
        <v>Ord-10-23-124</v>
      </c>
      <c r="D1646" s="6" t="s">
        <v>11</v>
      </c>
      <c r="E1646" s="10" t="s">
        <v>33</v>
      </c>
      <c r="F1646" s="10" t="s">
        <v>46</v>
      </c>
      <c r="G1646" s="10" t="s">
        <v>65</v>
      </c>
      <c r="H1646" s="10">
        <v>15</v>
      </c>
      <c r="I1646" s="6">
        <v>100</v>
      </c>
      <c r="J1646" s="6">
        <f>H1646*I1646</f>
        <v>1500</v>
      </c>
    </row>
    <row r="1647" spans="2:10" ht="20.100000000000001" customHeight="1" x14ac:dyDescent="0.25">
      <c r="B1647" s="5">
        <v>45223</v>
      </c>
      <c r="C1647" s="8" t="str">
        <f>"Ord-10-23-"&amp;TEXT(ROW(C125),"000")</f>
        <v>Ord-10-23-125</v>
      </c>
      <c r="D1647" s="6" t="s">
        <v>12</v>
      </c>
      <c r="E1647" s="10" t="s">
        <v>29</v>
      </c>
      <c r="F1647" s="10" t="s">
        <v>39</v>
      </c>
      <c r="G1647" s="10" t="s">
        <v>56</v>
      </c>
      <c r="H1647" s="10">
        <v>2500</v>
      </c>
      <c r="I1647" s="6">
        <v>4</v>
      </c>
      <c r="J1647" s="6">
        <f>H1647*I1647</f>
        <v>10000</v>
      </c>
    </row>
    <row r="1648" spans="2:10" ht="20.100000000000001" customHeight="1" x14ac:dyDescent="0.25">
      <c r="B1648" s="5">
        <v>45224</v>
      </c>
      <c r="C1648" s="8" t="str">
        <f>"Ord-10-23-"&amp;TEXT(ROW(C126),"000")</f>
        <v>Ord-10-23-126</v>
      </c>
      <c r="D1648" s="6" t="s">
        <v>11</v>
      </c>
      <c r="E1648" s="10" t="s">
        <v>35</v>
      </c>
      <c r="F1648" s="12" t="s">
        <v>90</v>
      </c>
      <c r="G1648" s="10" t="s">
        <v>79</v>
      </c>
      <c r="H1648" s="10">
        <v>4800</v>
      </c>
      <c r="I1648" s="6">
        <v>5</v>
      </c>
      <c r="J1648" s="6">
        <f>H1648*I1648</f>
        <v>24000</v>
      </c>
    </row>
    <row r="1649" spans="2:10" ht="20.100000000000001" customHeight="1" x14ac:dyDescent="0.25">
      <c r="B1649" s="5">
        <v>45224</v>
      </c>
      <c r="C1649" s="8" t="str">
        <f>"Ord-10-23-"&amp;TEXT(ROW(C127),"000")</f>
        <v>Ord-10-23-127</v>
      </c>
      <c r="D1649" s="6" t="s">
        <v>18</v>
      </c>
      <c r="E1649" s="10" t="s">
        <v>35</v>
      </c>
      <c r="F1649" s="12" t="s">
        <v>90</v>
      </c>
      <c r="G1649" s="10" t="s">
        <v>71</v>
      </c>
      <c r="H1649" s="10">
        <v>5500</v>
      </c>
      <c r="I1649" s="6">
        <v>3</v>
      </c>
      <c r="J1649" s="6">
        <f>H1649*I1649</f>
        <v>16500</v>
      </c>
    </row>
    <row r="1650" spans="2:10" ht="20.100000000000001" customHeight="1" x14ac:dyDescent="0.25">
      <c r="B1650" s="5">
        <v>45224</v>
      </c>
      <c r="C1650" s="8" t="str">
        <f>"Ord-10-23-"&amp;TEXT(ROW(C128),"000")</f>
        <v>Ord-10-23-128</v>
      </c>
      <c r="D1650" s="6" t="s">
        <v>18</v>
      </c>
      <c r="E1650" s="10" t="s">
        <v>31</v>
      </c>
      <c r="F1650" s="10" t="s">
        <v>43</v>
      </c>
      <c r="G1650" s="10" t="s">
        <v>63</v>
      </c>
      <c r="H1650" s="10">
        <v>4200</v>
      </c>
      <c r="I1650" s="6">
        <v>2</v>
      </c>
      <c r="J1650" s="6">
        <f>H1650*I1650</f>
        <v>8400</v>
      </c>
    </row>
    <row r="1651" spans="2:10" ht="20.100000000000001" customHeight="1" x14ac:dyDescent="0.25">
      <c r="B1651" s="5">
        <v>45224</v>
      </c>
      <c r="C1651" s="8" t="str">
        <f>"Ord-10-23-"&amp;TEXT(ROW(C129),"000")</f>
        <v>Ord-10-23-129</v>
      </c>
      <c r="D1651" s="6" t="s">
        <v>23</v>
      </c>
      <c r="E1651" s="10" t="s">
        <v>31</v>
      </c>
      <c r="F1651" s="10" t="s">
        <v>45</v>
      </c>
      <c r="G1651" s="10" t="s">
        <v>59</v>
      </c>
      <c r="H1651" s="10">
        <v>4000</v>
      </c>
      <c r="I1651" s="6">
        <v>3</v>
      </c>
      <c r="J1651" s="6">
        <f>H1651*I1651</f>
        <v>12000</v>
      </c>
    </row>
    <row r="1652" spans="2:10" ht="20.100000000000001" customHeight="1" x14ac:dyDescent="0.25">
      <c r="B1652" s="5">
        <v>45224</v>
      </c>
      <c r="C1652" s="8" t="str">
        <f>"Ord-10-23-"&amp;TEXT(ROW(C130),"000")</f>
        <v>Ord-10-23-130</v>
      </c>
      <c r="D1652" s="6" t="s">
        <v>12</v>
      </c>
      <c r="E1652" s="10" t="s">
        <v>31</v>
      </c>
      <c r="F1652" s="10" t="s">
        <v>52</v>
      </c>
      <c r="G1652" s="10" t="s">
        <v>76</v>
      </c>
      <c r="H1652" s="10">
        <v>2800</v>
      </c>
      <c r="I1652" s="6">
        <v>8</v>
      </c>
      <c r="J1652" s="6">
        <f>H1652*I1652</f>
        <v>22400</v>
      </c>
    </row>
    <row r="1653" spans="2:10" ht="20.100000000000001" customHeight="1" x14ac:dyDescent="0.25">
      <c r="B1653" s="5">
        <v>45225</v>
      </c>
      <c r="C1653" s="8" t="str">
        <f>"Ord-10-23-"&amp;TEXT(ROW(C131),"000")</f>
        <v>Ord-10-23-131</v>
      </c>
      <c r="D1653" s="6" t="s">
        <v>14</v>
      </c>
      <c r="E1653" s="10" t="s">
        <v>28</v>
      </c>
      <c r="F1653" s="10" t="s">
        <v>28</v>
      </c>
      <c r="G1653" s="10" t="s">
        <v>55</v>
      </c>
      <c r="H1653" s="10">
        <v>750</v>
      </c>
      <c r="I1653" s="6">
        <v>1</v>
      </c>
      <c r="J1653" s="6">
        <f>H1653*I1653</f>
        <v>750</v>
      </c>
    </row>
    <row r="1654" spans="2:10" ht="20.100000000000001" customHeight="1" x14ac:dyDescent="0.25">
      <c r="B1654" s="5">
        <v>45225</v>
      </c>
      <c r="C1654" s="8" t="str">
        <f>"Ord-10-23-"&amp;TEXT(ROW(C132),"000")</f>
        <v>Ord-10-23-132</v>
      </c>
      <c r="D1654" s="6" t="s">
        <v>18</v>
      </c>
      <c r="E1654" s="10" t="s">
        <v>36</v>
      </c>
      <c r="F1654" s="10" t="s">
        <v>36</v>
      </c>
      <c r="G1654" s="10" t="s">
        <v>85</v>
      </c>
      <c r="H1654" s="10">
        <v>2200</v>
      </c>
      <c r="I1654" s="6">
        <v>4</v>
      </c>
      <c r="J1654" s="6">
        <f>H1654*I1654</f>
        <v>8800</v>
      </c>
    </row>
    <row r="1655" spans="2:10" ht="20.100000000000001" customHeight="1" x14ac:dyDescent="0.25">
      <c r="B1655" s="5">
        <v>45225</v>
      </c>
      <c r="C1655" s="8" t="str">
        <f>"Ord-10-23-"&amp;TEXT(ROW(C133),"000")</f>
        <v>Ord-10-23-133</v>
      </c>
      <c r="D1655" s="6" t="s">
        <v>20</v>
      </c>
      <c r="E1655" s="10" t="s">
        <v>27</v>
      </c>
      <c r="F1655" s="10" t="s">
        <v>42</v>
      </c>
      <c r="G1655" s="10" t="s">
        <v>42</v>
      </c>
      <c r="H1655" s="10">
        <v>2500</v>
      </c>
      <c r="I1655" s="6">
        <v>2</v>
      </c>
      <c r="J1655" s="6">
        <f>H1655*I1655</f>
        <v>5000</v>
      </c>
    </row>
    <row r="1656" spans="2:10" ht="20.100000000000001" customHeight="1" x14ac:dyDescent="0.25">
      <c r="B1656" s="5">
        <v>45225</v>
      </c>
      <c r="C1656" s="8" t="str">
        <f>"Ord-10-23-"&amp;TEXT(ROW(C134),"000")</f>
        <v>Ord-10-23-134</v>
      </c>
      <c r="D1656" s="6" t="s">
        <v>7</v>
      </c>
      <c r="E1656" s="10" t="s">
        <v>27</v>
      </c>
      <c r="F1656" s="10" t="s">
        <v>50</v>
      </c>
      <c r="G1656" s="10" t="s">
        <v>53</v>
      </c>
      <c r="H1656" s="10">
        <v>3500</v>
      </c>
      <c r="I1656" s="6">
        <v>2</v>
      </c>
      <c r="J1656" s="6">
        <f>H1656*I1656</f>
        <v>7000</v>
      </c>
    </row>
    <row r="1657" spans="2:10" ht="20.100000000000001" customHeight="1" x14ac:dyDescent="0.25">
      <c r="B1657" s="5">
        <v>45225</v>
      </c>
      <c r="C1657" s="8" t="str">
        <f>"Ord-10-23-"&amp;TEXT(ROW(C135),"000")</f>
        <v>Ord-10-23-135</v>
      </c>
      <c r="D1657" s="6" t="s">
        <v>16</v>
      </c>
      <c r="E1657" s="10" t="s">
        <v>27</v>
      </c>
      <c r="F1657" s="10" t="s">
        <v>41</v>
      </c>
      <c r="G1657" s="10" t="s">
        <v>54</v>
      </c>
      <c r="H1657" s="10">
        <v>2800</v>
      </c>
      <c r="I1657" s="6">
        <v>1</v>
      </c>
      <c r="J1657" s="6">
        <f>H1657*I1657</f>
        <v>2800</v>
      </c>
    </row>
    <row r="1658" spans="2:10" ht="20.100000000000001" customHeight="1" x14ac:dyDescent="0.25">
      <c r="B1658" s="5">
        <v>45226</v>
      </c>
      <c r="C1658" s="8" t="str">
        <f>"Ord-10-23-"&amp;TEXT(ROW(C136),"000")</f>
        <v>Ord-10-23-136</v>
      </c>
      <c r="D1658" s="6" t="s">
        <v>21</v>
      </c>
      <c r="E1658" s="10" t="s">
        <v>32</v>
      </c>
      <c r="F1658" s="10" t="s">
        <v>51</v>
      </c>
      <c r="G1658" s="10" t="s">
        <v>80</v>
      </c>
      <c r="H1658" s="13">
        <v>5500</v>
      </c>
      <c r="I1658" s="6">
        <v>1</v>
      </c>
      <c r="J1658" s="6">
        <f>H1658*I1658</f>
        <v>5500</v>
      </c>
    </row>
    <row r="1659" spans="2:10" ht="20.100000000000001" customHeight="1" x14ac:dyDescent="0.25">
      <c r="B1659" s="5">
        <v>45226</v>
      </c>
      <c r="C1659" s="8" t="str">
        <f>"Ord-10-23-"&amp;TEXT(ROW(C137),"000")</f>
        <v>Ord-10-23-137</v>
      </c>
      <c r="D1659" s="6" t="s">
        <v>14</v>
      </c>
      <c r="E1659" s="10" t="s">
        <v>33</v>
      </c>
      <c r="F1659" s="10" t="s">
        <v>46</v>
      </c>
      <c r="G1659" s="10" t="s">
        <v>65</v>
      </c>
      <c r="H1659" s="10">
        <v>15</v>
      </c>
      <c r="I1659" s="6">
        <v>260</v>
      </c>
      <c r="J1659" s="6">
        <f>H1659*I1659</f>
        <v>3900</v>
      </c>
    </row>
    <row r="1660" spans="2:10" ht="20.100000000000001" customHeight="1" x14ac:dyDescent="0.25">
      <c r="B1660" s="5">
        <v>45226</v>
      </c>
      <c r="C1660" s="8" t="str">
        <f>"Ord-10-23-"&amp;TEXT(ROW(C138),"000")</f>
        <v>Ord-10-23-138</v>
      </c>
      <c r="D1660" s="6" t="s">
        <v>10</v>
      </c>
      <c r="E1660" s="10" t="s">
        <v>31</v>
      </c>
      <c r="F1660" s="10" t="s">
        <v>45</v>
      </c>
      <c r="G1660" s="10" t="s">
        <v>66</v>
      </c>
      <c r="H1660" s="10">
        <v>2300</v>
      </c>
      <c r="I1660" s="6">
        <v>5</v>
      </c>
      <c r="J1660" s="6">
        <f>H1660*I1660</f>
        <v>11500</v>
      </c>
    </row>
    <row r="1661" spans="2:10" ht="20.100000000000001" customHeight="1" x14ac:dyDescent="0.25">
      <c r="B1661" s="5">
        <v>45226</v>
      </c>
      <c r="C1661" s="8" t="str">
        <f>"Ord-10-23-"&amp;TEXT(ROW(C139),"000")</f>
        <v>Ord-10-23-139</v>
      </c>
      <c r="D1661" s="6" t="s">
        <v>7</v>
      </c>
      <c r="E1661" s="10" t="s">
        <v>27</v>
      </c>
      <c r="F1661" s="10" t="s">
        <v>50</v>
      </c>
      <c r="G1661" s="10" t="s">
        <v>53</v>
      </c>
      <c r="H1661" s="10">
        <v>3500</v>
      </c>
      <c r="I1661" s="6">
        <v>2</v>
      </c>
      <c r="J1661" s="6">
        <f>H1661*I1661</f>
        <v>7000</v>
      </c>
    </row>
    <row r="1662" spans="2:10" ht="20.100000000000001" customHeight="1" x14ac:dyDescent="0.25">
      <c r="B1662" s="5">
        <v>45226</v>
      </c>
      <c r="C1662" s="8" t="str">
        <f>"Ord-10-23-"&amp;TEXT(ROW(C140),"000")</f>
        <v>Ord-10-23-140</v>
      </c>
      <c r="D1662" s="6" t="s">
        <v>8</v>
      </c>
      <c r="E1662" s="10" t="s">
        <v>27</v>
      </c>
      <c r="F1662" s="10" t="s">
        <v>41</v>
      </c>
      <c r="G1662" s="10" t="s">
        <v>64</v>
      </c>
      <c r="H1662" s="10">
        <v>2500</v>
      </c>
      <c r="I1662" s="6">
        <v>3</v>
      </c>
      <c r="J1662" s="6">
        <f>H1662*I1662</f>
        <v>7500</v>
      </c>
    </row>
    <row r="1663" spans="2:10" ht="20.100000000000001" customHeight="1" x14ac:dyDescent="0.25">
      <c r="B1663" s="5">
        <v>45227</v>
      </c>
      <c r="C1663" s="8" t="str">
        <f>"Ord-10-23-"&amp;TEXT(ROW(C141),"000")</f>
        <v>Ord-10-23-141</v>
      </c>
      <c r="D1663" s="6" t="s">
        <v>18</v>
      </c>
      <c r="E1663" s="10" t="s">
        <v>35</v>
      </c>
      <c r="F1663" s="12" t="s">
        <v>90</v>
      </c>
      <c r="G1663" s="10" t="s">
        <v>79</v>
      </c>
      <c r="H1663" s="10">
        <v>4800</v>
      </c>
      <c r="I1663" s="6">
        <v>3</v>
      </c>
      <c r="J1663" s="6">
        <f>H1663*I1663</f>
        <v>14400</v>
      </c>
    </row>
    <row r="1664" spans="2:10" ht="20.100000000000001" customHeight="1" x14ac:dyDescent="0.25">
      <c r="B1664" s="5">
        <v>45227</v>
      </c>
      <c r="C1664" s="8" t="str">
        <f>"Ord-10-23-"&amp;TEXT(ROW(C142),"000")</f>
        <v>Ord-10-23-142</v>
      </c>
      <c r="D1664" s="6" t="s">
        <v>8</v>
      </c>
      <c r="E1664" s="10" t="s">
        <v>35</v>
      </c>
      <c r="F1664" s="12" t="s">
        <v>90</v>
      </c>
      <c r="G1664" s="10" t="s">
        <v>77</v>
      </c>
      <c r="H1664" s="10">
        <v>8500</v>
      </c>
      <c r="I1664" s="6">
        <v>1</v>
      </c>
      <c r="J1664" s="6">
        <f>H1664*I1664</f>
        <v>8500</v>
      </c>
    </row>
    <row r="1665" spans="2:10" ht="20.100000000000001" customHeight="1" x14ac:dyDescent="0.25">
      <c r="B1665" s="5">
        <v>45227</v>
      </c>
      <c r="C1665" s="8" t="str">
        <f>"Ord-10-23-"&amp;TEXT(ROW(C143),"000")</f>
        <v>Ord-10-23-143</v>
      </c>
      <c r="D1665" s="6" t="s">
        <v>7</v>
      </c>
      <c r="E1665" s="10" t="s">
        <v>32</v>
      </c>
      <c r="F1665" s="10" t="s">
        <v>44</v>
      </c>
      <c r="G1665" s="10" t="s">
        <v>62</v>
      </c>
      <c r="H1665" s="10">
        <v>1200</v>
      </c>
      <c r="I1665" s="6">
        <v>3</v>
      </c>
      <c r="J1665" s="6">
        <f>H1665*I1665</f>
        <v>3600</v>
      </c>
    </row>
    <row r="1666" spans="2:10" ht="20.100000000000001" customHeight="1" x14ac:dyDescent="0.25">
      <c r="B1666" s="5">
        <v>45227</v>
      </c>
      <c r="C1666" s="8" t="str">
        <f>"Ord-10-23-"&amp;TEXT(ROW(C144),"000")</f>
        <v>Ord-10-23-144</v>
      </c>
      <c r="D1666" s="6" t="s">
        <v>22</v>
      </c>
      <c r="E1666" s="10" t="s">
        <v>32</v>
      </c>
      <c r="F1666" s="10" t="s">
        <v>51</v>
      </c>
      <c r="G1666" s="10" t="s">
        <v>70</v>
      </c>
      <c r="H1666" s="10">
        <v>2600</v>
      </c>
      <c r="I1666" s="6">
        <v>3</v>
      </c>
      <c r="J1666" s="6">
        <f>H1666*I1666</f>
        <v>7800</v>
      </c>
    </row>
    <row r="1667" spans="2:10" ht="20.100000000000001" customHeight="1" x14ac:dyDescent="0.25">
      <c r="B1667" s="5">
        <v>45227</v>
      </c>
      <c r="C1667" s="8" t="str">
        <f>"Ord-10-23-"&amp;TEXT(ROW(C145),"000")</f>
        <v>Ord-10-23-145</v>
      </c>
      <c r="D1667" s="6" t="s">
        <v>26</v>
      </c>
      <c r="E1667" s="10" t="s">
        <v>34</v>
      </c>
      <c r="F1667" s="10" t="s">
        <v>49</v>
      </c>
      <c r="G1667" s="10" t="s">
        <v>75</v>
      </c>
      <c r="H1667" s="10">
        <v>4300</v>
      </c>
      <c r="I1667" s="6">
        <v>2</v>
      </c>
      <c r="J1667" s="6">
        <f>H1667*I1667</f>
        <v>8600</v>
      </c>
    </row>
    <row r="1668" spans="2:10" ht="20.100000000000001" customHeight="1" x14ac:dyDescent="0.25">
      <c r="B1668" s="5">
        <v>45228</v>
      </c>
      <c r="C1668" s="8" t="str">
        <f>"Ord-10-23-"&amp;TEXT(ROW(C146),"000")</f>
        <v>Ord-10-23-146</v>
      </c>
      <c r="D1668" s="6" t="s">
        <v>12</v>
      </c>
      <c r="E1668" s="10" t="s">
        <v>28</v>
      </c>
      <c r="F1668" s="10" t="s">
        <v>28</v>
      </c>
      <c r="G1668" s="10" t="s">
        <v>55</v>
      </c>
      <c r="H1668" s="10">
        <v>750</v>
      </c>
      <c r="I1668" s="6">
        <v>1</v>
      </c>
      <c r="J1668" s="6">
        <f>H1668*I1668</f>
        <v>750</v>
      </c>
    </row>
    <row r="1669" spans="2:10" ht="20.100000000000001" customHeight="1" x14ac:dyDescent="0.25">
      <c r="B1669" s="5">
        <v>45228</v>
      </c>
      <c r="C1669" s="8" t="str">
        <f>"Ord-10-23-"&amp;TEXT(ROW(C147),"000")</f>
        <v>Ord-10-23-147</v>
      </c>
      <c r="D1669" s="6" t="s">
        <v>16</v>
      </c>
      <c r="E1669" s="10" t="s">
        <v>28</v>
      </c>
      <c r="F1669" s="10" t="s">
        <v>28</v>
      </c>
      <c r="G1669" s="10" t="s">
        <v>58</v>
      </c>
      <c r="H1669" s="10">
        <v>1000</v>
      </c>
      <c r="I1669" s="6">
        <v>1</v>
      </c>
      <c r="J1669" s="6">
        <f>H1669*I1669</f>
        <v>1000</v>
      </c>
    </row>
    <row r="1670" spans="2:10" ht="20.100000000000001" customHeight="1" x14ac:dyDescent="0.25">
      <c r="B1670" s="5">
        <v>45228</v>
      </c>
      <c r="C1670" s="8" t="str">
        <f>"Ord-10-23-"&amp;TEXT(ROW(C148),"000")</f>
        <v>Ord-10-23-148</v>
      </c>
      <c r="D1670" s="6" t="s">
        <v>17</v>
      </c>
      <c r="E1670" s="10" t="s">
        <v>33</v>
      </c>
      <c r="F1670" s="10" t="s">
        <v>46</v>
      </c>
      <c r="G1670" s="10" t="s">
        <v>65</v>
      </c>
      <c r="H1670" s="10">
        <v>15</v>
      </c>
      <c r="I1670" s="6">
        <v>360</v>
      </c>
      <c r="J1670" s="6">
        <f>H1670*I1670</f>
        <v>5400</v>
      </c>
    </row>
    <row r="1671" spans="2:10" ht="20.100000000000001" customHeight="1" x14ac:dyDescent="0.25">
      <c r="B1671" s="5">
        <v>45228</v>
      </c>
      <c r="C1671" s="8" t="str">
        <f>"Ord-10-23-"&amp;TEXT(ROW(C149),"000")</f>
        <v>Ord-10-23-149</v>
      </c>
      <c r="D1671" s="6" t="s">
        <v>8</v>
      </c>
      <c r="E1671" s="10" t="s">
        <v>31</v>
      </c>
      <c r="F1671" s="10" t="s">
        <v>45</v>
      </c>
      <c r="G1671" s="10" t="s">
        <v>63</v>
      </c>
      <c r="H1671" s="10">
        <v>1800</v>
      </c>
      <c r="I1671" s="6">
        <v>3</v>
      </c>
      <c r="J1671" s="6">
        <f>H1671*I1671</f>
        <v>5400</v>
      </c>
    </row>
    <row r="1672" spans="2:10" ht="20.100000000000001" customHeight="1" x14ac:dyDescent="0.25">
      <c r="B1672" s="5">
        <v>45228</v>
      </c>
      <c r="C1672" s="8" t="str">
        <f>"Ord-10-23-"&amp;TEXT(ROW(C150),"000")</f>
        <v>Ord-10-23-150</v>
      </c>
      <c r="D1672" s="6" t="s">
        <v>14</v>
      </c>
      <c r="E1672" s="10" t="s">
        <v>30</v>
      </c>
      <c r="F1672" s="10" t="s">
        <v>90</v>
      </c>
      <c r="G1672" s="10" t="s">
        <v>86</v>
      </c>
      <c r="H1672" s="10">
        <v>7500</v>
      </c>
      <c r="I1672" s="6">
        <v>4</v>
      </c>
      <c r="J1672" s="6">
        <f>H1672*I1672</f>
        <v>30000</v>
      </c>
    </row>
    <row r="1673" spans="2:10" ht="20.100000000000001" customHeight="1" x14ac:dyDescent="0.25">
      <c r="B1673" s="5">
        <v>45229</v>
      </c>
      <c r="C1673" s="8" t="str">
        <f>"Ord-10-23-"&amp;TEXT(ROW(C151),"000")</f>
        <v>Ord-10-23-151</v>
      </c>
      <c r="D1673" s="6" t="s">
        <v>26</v>
      </c>
      <c r="E1673" s="10" t="s">
        <v>32</v>
      </c>
      <c r="F1673" s="10" t="s">
        <v>51</v>
      </c>
      <c r="G1673" s="10" t="s">
        <v>81</v>
      </c>
      <c r="H1673" s="10">
        <v>3000</v>
      </c>
      <c r="I1673" s="6">
        <v>5</v>
      </c>
      <c r="J1673" s="6">
        <f>H1673*I1673</f>
        <v>15000</v>
      </c>
    </row>
    <row r="1674" spans="2:10" ht="20.100000000000001" customHeight="1" x14ac:dyDescent="0.25">
      <c r="B1674" s="5">
        <v>45229</v>
      </c>
      <c r="C1674" s="8" t="str">
        <f>"Ord-10-23-"&amp;TEXT(ROW(C152),"000")</f>
        <v>Ord-10-23-152</v>
      </c>
      <c r="D1674" s="6" t="s">
        <v>18</v>
      </c>
      <c r="E1674" s="10" t="s">
        <v>33</v>
      </c>
      <c r="F1674" s="10" t="s">
        <v>47</v>
      </c>
      <c r="G1674" s="10" t="s">
        <v>65</v>
      </c>
      <c r="H1674" s="10">
        <v>25</v>
      </c>
      <c r="I1674" s="6">
        <v>350</v>
      </c>
      <c r="J1674" s="6">
        <f>H1674*I1674</f>
        <v>8750</v>
      </c>
    </row>
    <row r="1675" spans="2:10" ht="20.100000000000001" customHeight="1" x14ac:dyDescent="0.25">
      <c r="B1675" s="5">
        <v>45229</v>
      </c>
      <c r="C1675" s="8" t="str">
        <f>"Ord-10-23-"&amp;TEXT(ROW(C153),"000")</f>
        <v>Ord-10-23-153</v>
      </c>
      <c r="D1675" s="6" t="s">
        <v>11</v>
      </c>
      <c r="E1675" s="10" t="s">
        <v>33</v>
      </c>
      <c r="F1675" s="10" t="s">
        <v>46</v>
      </c>
      <c r="G1675" s="10" t="s">
        <v>65</v>
      </c>
      <c r="H1675" s="10">
        <v>15</v>
      </c>
      <c r="I1675" s="6">
        <v>400</v>
      </c>
      <c r="J1675" s="6">
        <f>H1675*I1675</f>
        <v>6000</v>
      </c>
    </row>
    <row r="1676" spans="2:10" ht="20.100000000000001" customHeight="1" x14ac:dyDescent="0.25">
      <c r="B1676" s="5">
        <v>45229</v>
      </c>
      <c r="C1676" s="8" t="str">
        <f>"Ord-10-23-"&amp;TEXT(ROW(C154),"000")</f>
        <v>Ord-10-23-154</v>
      </c>
      <c r="D1676" s="6" t="s">
        <v>7</v>
      </c>
      <c r="E1676" s="10" t="s">
        <v>29</v>
      </c>
      <c r="F1676" s="10" t="s">
        <v>39</v>
      </c>
      <c r="G1676" s="10" t="s">
        <v>60</v>
      </c>
      <c r="H1676" s="10">
        <v>1500</v>
      </c>
      <c r="I1676" s="6">
        <v>2</v>
      </c>
      <c r="J1676" s="6">
        <f>H1676*I1676</f>
        <v>3000</v>
      </c>
    </row>
    <row r="1677" spans="2:10" ht="20.100000000000001" customHeight="1" x14ac:dyDescent="0.25">
      <c r="B1677" s="5">
        <v>45229</v>
      </c>
      <c r="C1677" s="8" t="str">
        <f>"Ord-10-23-"&amp;TEXT(ROW(C155),"000")</f>
        <v>Ord-10-23-155</v>
      </c>
      <c r="D1677" s="6" t="s">
        <v>24</v>
      </c>
      <c r="E1677" s="10" t="s">
        <v>27</v>
      </c>
      <c r="F1677" s="10" t="s">
        <v>41</v>
      </c>
      <c r="G1677" s="10" t="s">
        <v>53</v>
      </c>
      <c r="H1677" s="10">
        <v>3000</v>
      </c>
      <c r="I1677" s="6">
        <v>2</v>
      </c>
      <c r="J1677" s="6">
        <f>H1677*I1677</f>
        <v>6000</v>
      </c>
    </row>
    <row r="1678" spans="2:10" ht="20.100000000000001" customHeight="1" x14ac:dyDescent="0.25">
      <c r="B1678" s="5">
        <v>45230</v>
      </c>
      <c r="C1678" s="8" t="str">
        <f>"Ord-10-23-"&amp;TEXT(ROW(C156),"000")</f>
        <v>Ord-10-23-156</v>
      </c>
      <c r="D1678" s="6" t="s">
        <v>26</v>
      </c>
      <c r="E1678" s="10" t="s">
        <v>35</v>
      </c>
      <c r="F1678" s="12" t="s">
        <v>90</v>
      </c>
      <c r="G1678" s="10" t="s">
        <v>58</v>
      </c>
      <c r="H1678" s="10">
        <v>7500</v>
      </c>
      <c r="I1678" s="6">
        <v>4</v>
      </c>
      <c r="J1678" s="6">
        <f>H1678*I1678</f>
        <v>30000</v>
      </c>
    </row>
    <row r="1679" spans="2:10" ht="20.100000000000001" customHeight="1" x14ac:dyDescent="0.25">
      <c r="B1679" s="5">
        <v>45230</v>
      </c>
      <c r="C1679" s="8" t="str">
        <f>"Ord-10-23-"&amp;TEXT(ROW(C157),"000")</f>
        <v>Ord-10-23-157</v>
      </c>
      <c r="D1679" s="6" t="s">
        <v>26</v>
      </c>
      <c r="E1679" s="10" t="s">
        <v>31</v>
      </c>
      <c r="F1679" s="10" t="s">
        <v>52</v>
      </c>
      <c r="G1679" s="10" t="s">
        <v>67</v>
      </c>
      <c r="H1679" s="10">
        <v>4000</v>
      </c>
      <c r="I1679" s="6">
        <v>3</v>
      </c>
      <c r="J1679" s="6">
        <f>H1679*I1679</f>
        <v>12000</v>
      </c>
    </row>
    <row r="1680" spans="2:10" ht="20.100000000000001" customHeight="1" x14ac:dyDescent="0.25">
      <c r="B1680" s="5">
        <v>45230</v>
      </c>
      <c r="C1680" s="8" t="str">
        <f>"Ord-10-23-"&amp;TEXT(ROW(C158),"000")</f>
        <v>Ord-10-23-158</v>
      </c>
      <c r="D1680" s="6" t="s">
        <v>21</v>
      </c>
      <c r="E1680" s="10" t="s">
        <v>31</v>
      </c>
      <c r="F1680" s="10" t="s">
        <v>48</v>
      </c>
      <c r="G1680" s="10" t="s">
        <v>69</v>
      </c>
      <c r="H1680" s="10">
        <v>3500</v>
      </c>
      <c r="I1680" s="6">
        <v>5</v>
      </c>
      <c r="J1680" s="6">
        <f>H1680*I1680</f>
        <v>17500</v>
      </c>
    </row>
    <row r="1681" spans="2:10" ht="20.100000000000001" customHeight="1" x14ac:dyDescent="0.25">
      <c r="B1681" s="5">
        <v>45230</v>
      </c>
      <c r="C1681" s="8" t="str">
        <f>"Ord-10-23-"&amp;TEXT(ROW(C159),"000")</f>
        <v>Ord-10-23-159</v>
      </c>
      <c r="D1681" s="6" t="s">
        <v>18</v>
      </c>
      <c r="E1681" s="10" t="s">
        <v>29</v>
      </c>
      <c r="F1681" s="10" t="s">
        <v>39</v>
      </c>
      <c r="G1681" s="10" t="s">
        <v>60</v>
      </c>
      <c r="H1681" s="10">
        <v>1500</v>
      </c>
      <c r="I1681" s="6">
        <v>5</v>
      </c>
      <c r="J1681" s="6">
        <f>H1681*I1681</f>
        <v>7500</v>
      </c>
    </row>
    <row r="1682" spans="2:10" ht="20.100000000000001" customHeight="1" x14ac:dyDescent="0.25">
      <c r="B1682" s="5">
        <v>45230</v>
      </c>
      <c r="C1682" s="8" t="str">
        <f>"Ord-10-23-"&amp;TEXT(ROW(C160),"000")</f>
        <v>Ord-10-23-160</v>
      </c>
      <c r="D1682" s="6" t="s">
        <v>13</v>
      </c>
      <c r="E1682" s="10" t="s">
        <v>27</v>
      </c>
      <c r="F1682" s="10" t="s">
        <v>37</v>
      </c>
      <c r="G1682" s="10" t="s">
        <v>53</v>
      </c>
      <c r="H1682" s="10">
        <v>5200</v>
      </c>
      <c r="I1682" s="6">
        <v>2</v>
      </c>
      <c r="J1682" s="6">
        <f>H1682*I1682</f>
        <v>10400</v>
      </c>
    </row>
    <row r="1683" spans="2:10" ht="20.100000000000001" customHeight="1" x14ac:dyDescent="0.25">
      <c r="B1683" s="5">
        <v>45231</v>
      </c>
      <c r="C1683" s="8" t="str">
        <f>"Ord-11-23-"&amp;TEXT(ROW(C1),"000")</f>
        <v>Ord-11-23-001</v>
      </c>
      <c r="D1683" s="6" t="s">
        <v>26</v>
      </c>
      <c r="E1683" s="10" t="s">
        <v>35</v>
      </c>
      <c r="F1683" s="12" t="s">
        <v>90</v>
      </c>
      <c r="G1683" s="10" t="s">
        <v>77</v>
      </c>
      <c r="H1683" s="10">
        <v>8500</v>
      </c>
      <c r="I1683" s="6">
        <v>4</v>
      </c>
      <c r="J1683" s="6">
        <f>H1683*I1683</f>
        <v>34000</v>
      </c>
    </row>
    <row r="1684" spans="2:10" ht="20.100000000000001" customHeight="1" x14ac:dyDescent="0.25">
      <c r="B1684" s="5">
        <v>45231</v>
      </c>
      <c r="C1684" s="8" t="str">
        <f>"Ord-11-23-"&amp;TEXT(ROW(C2),"000")</f>
        <v>Ord-11-23-002</v>
      </c>
      <c r="D1684" s="6" t="s">
        <v>10</v>
      </c>
      <c r="E1684" s="10" t="s">
        <v>28</v>
      </c>
      <c r="F1684" s="10" t="s">
        <v>28</v>
      </c>
      <c r="G1684" s="10" t="s">
        <v>79</v>
      </c>
      <c r="H1684" s="10">
        <v>600</v>
      </c>
      <c r="I1684" s="6">
        <v>2</v>
      </c>
      <c r="J1684" s="6">
        <f>H1684*I1684</f>
        <v>1200</v>
      </c>
    </row>
    <row r="1685" spans="2:10" ht="20.100000000000001" customHeight="1" x14ac:dyDescent="0.25">
      <c r="B1685" s="5">
        <v>45231</v>
      </c>
      <c r="C1685" s="8" t="str">
        <f>"Ord-11-23-"&amp;TEXT(ROW(C3),"000")</f>
        <v>Ord-11-23-003</v>
      </c>
      <c r="D1685" s="6" t="s">
        <v>16</v>
      </c>
      <c r="E1685" s="10" t="s">
        <v>29</v>
      </c>
      <c r="F1685" s="10" t="s">
        <v>40</v>
      </c>
      <c r="G1685" s="10" t="s">
        <v>57</v>
      </c>
      <c r="H1685" s="10">
        <v>4000</v>
      </c>
      <c r="I1685" s="6">
        <v>5</v>
      </c>
      <c r="J1685" s="6">
        <f>H1685*I1685</f>
        <v>20000</v>
      </c>
    </row>
    <row r="1686" spans="2:10" ht="20.100000000000001" customHeight="1" x14ac:dyDescent="0.25">
      <c r="B1686" s="5">
        <v>45231</v>
      </c>
      <c r="C1686" s="8" t="str">
        <f>"Ord-11-23-"&amp;TEXT(ROW(C4),"000")</f>
        <v>Ord-11-23-004</v>
      </c>
      <c r="D1686" s="6" t="s">
        <v>11</v>
      </c>
      <c r="E1686" s="10" t="s">
        <v>29</v>
      </c>
      <c r="F1686" s="10" t="s">
        <v>39</v>
      </c>
      <c r="G1686" s="10" t="s">
        <v>60</v>
      </c>
      <c r="H1686" s="10">
        <v>1500</v>
      </c>
      <c r="I1686" s="7">
        <v>3</v>
      </c>
      <c r="J1686" s="6">
        <f>H1686*I1686</f>
        <v>4500</v>
      </c>
    </row>
    <row r="1687" spans="2:10" ht="20.100000000000001" customHeight="1" x14ac:dyDescent="0.25">
      <c r="B1687" s="5">
        <v>45231</v>
      </c>
      <c r="C1687" s="8" t="str">
        <f>"Ord-11-23-"&amp;TEXT(ROW(C5),"000")</f>
        <v>Ord-11-23-005</v>
      </c>
      <c r="D1687" s="6" t="s">
        <v>24</v>
      </c>
      <c r="E1687" s="10" t="s">
        <v>27</v>
      </c>
      <c r="F1687" s="10" t="s">
        <v>38</v>
      </c>
      <c r="G1687" s="10" t="s">
        <v>54</v>
      </c>
      <c r="H1687" s="10">
        <v>5200</v>
      </c>
      <c r="I1687" s="6">
        <v>1</v>
      </c>
      <c r="J1687" s="6">
        <f>H1687*I1687</f>
        <v>5200</v>
      </c>
    </row>
    <row r="1688" spans="2:10" ht="20.100000000000001" customHeight="1" x14ac:dyDescent="0.25">
      <c r="B1688" s="5">
        <v>45232</v>
      </c>
      <c r="C1688" s="8" t="str">
        <f>"Ord-11-23-"&amp;TEXT(ROW(C6),"000")</f>
        <v>Ord-11-23-006</v>
      </c>
      <c r="D1688" s="6" t="s">
        <v>25</v>
      </c>
      <c r="E1688" s="10" t="s">
        <v>28</v>
      </c>
      <c r="F1688" s="10" t="s">
        <v>28</v>
      </c>
      <c r="G1688" s="10" t="s">
        <v>77</v>
      </c>
      <c r="H1688" s="10">
        <v>1200</v>
      </c>
      <c r="I1688" s="6">
        <v>1</v>
      </c>
      <c r="J1688" s="6">
        <f>H1688*I1688</f>
        <v>1200</v>
      </c>
    </row>
    <row r="1689" spans="2:10" ht="20.100000000000001" customHeight="1" x14ac:dyDescent="0.25">
      <c r="B1689" s="5">
        <v>45232</v>
      </c>
      <c r="C1689" s="8" t="str">
        <f>"Ord-11-23-"&amp;TEXT(ROW(C7),"000")</f>
        <v>Ord-11-23-007</v>
      </c>
      <c r="D1689" s="6" t="s">
        <v>25</v>
      </c>
      <c r="E1689" s="10" t="s">
        <v>32</v>
      </c>
      <c r="F1689" s="10" t="s">
        <v>51</v>
      </c>
      <c r="G1689" s="10" t="s">
        <v>80</v>
      </c>
      <c r="H1689" s="10">
        <v>5500</v>
      </c>
      <c r="I1689" s="6">
        <v>2</v>
      </c>
      <c r="J1689" s="6">
        <f>H1689*I1689</f>
        <v>11000</v>
      </c>
    </row>
    <row r="1690" spans="2:10" ht="20.100000000000001" customHeight="1" x14ac:dyDescent="0.25">
      <c r="B1690" s="5">
        <v>45232</v>
      </c>
      <c r="C1690" s="8" t="str">
        <f>"Ord-11-23-"&amp;TEXT(ROW(C8),"000")</f>
        <v>Ord-11-23-008</v>
      </c>
      <c r="D1690" s="6" t="s">
        <v>20</v>
      </c>
      <c r="E1690" s="10" t="s">
        <v>31</v>
      </c>
      <c r="F1690" s="10" t="s">
        <v>45</v>
      </c>
      <c r="G1690" s="10" t="s">
        <v>66</v>
      </c>
      <c r="H1690" s="10">
        <v>2300</v>
      </c>
      <c r="I1690" s="6">
        <v>4</v>
      </c>
      <c r="J1690" s="6">
        <f>H1690*I1690</f>
        <v>9200</v>
      </c>
    </row>
    <row r="1691" spans="2:10" ht="20.100000000000001" customHeight="1" x14ac:dyDescent="0.25">
      <c r="B1691" s="5">
        <v>45232</v>
      </c>
      <c r="C1691" s="8" t="str">
        <f>"Ord-11-23-"&amp;TEXT(ROW(C9),"000")</f>
        <v>Ord-11-23-009</v>
      </c>
      <c r="D1691" s="6" t="s">
        <v>18</v>
      </c>
      <c r="E1691" s="10" t="s">
        <v>31</v>
      </c>
      <c r="F1691" s="10" t="s">
        <v>45</v>
      </c>
      <c r="G1691" s="10" t="s">
        <v>59</v>
      </c>
      <c r="H1691" s="10">
        <v>4000</v>
      </c>
      <c r="I1691" s="6">
        <v>1</v>
      </c>
      <c r="J1691" s="6">
        <f>H1691*I1691</f>
        <v>4000</v>
      </c>
    </row>
    <row r="1692" spans="2:10" ht="20.100000000000001" customHeight="1" x14ac:dyDescent="0.25">
      <c r="B1692" s="5">
        <v>45232</v>
      </c>
      <c r="C1692" s="8" t="str">
        <f>"Ord-11-23-"&amp;TEXT(ROW(C10),"000")</f>
        <v>Ord-11-23-010</v>
      </c>
      <c r="D1692" s="6" t="s">
        <v>25</v>
      </c>
      <c r="E1692" s="10" t="s">
        <v>27</v>
      </c>
      <c r="F1692" s="10" t="s">
        <v>41</v>
      </c>
      <c r="G1692" s="10" t="s">
        <v>53</v>
      </c>
      <c r="H1692" s="10">
        <v>3000</v>
      </c>
      <c r="I1692" s="6">
        <v>3</v>
      </c>
      <c r="J1692" s="6">
        <f>H1692*I1692</f>
        <v>9000</v>
      </c>
    </row>
    <row r="1693" spans="2:10" ht="20.100000000000001" customHeight="1" x14ac:dyDescent="0.25">
      <c r="B1693" s="5">
        <v>45233</v>
      </c>
      <c r="C1693" s="8" t="str">
        <f>"Ord-11-23-"&amp;TEXT(ROW(C11),"000")</f>
        <v>Ord-11-23-011</v>
      </c>
      <c r="D1693" s="6" t="s">
        <v>19</v>
      </c>
      <c r="E1693" s="10" t="s">
        <v>33</v>
      </c>
      <c r="F1693" s="10" t="s">
        <v>46</v>
      </c>
      <c r="G1693" s="10" t="s">
        <v>65</v>
      </c>
      <c r="H1693" s="10">
        <v>15</v>
      </c>
      <c r="I1693" s="6">
        <v>350</v>
      </c>
      <c r="J1693" s="6">
        <f>H1693*I1693</f>
        <v>5250</v>
      </c>
    </row>
    <row r="1694" spans="2:10" ht="20.100000000000001" customHeight="1" x14ac:dyDescent="0.25">
      <c r="B1694" s="5">
        <v>45233</v>
      </c>
      <c r="C1694" s="8" t="str">
        <f>"Ord-11-23-"&amp;TEXT(ROW(C12),"000")</f>
        <v>Ord-11-23-012</v>
      </c>
      <c r="D1694" s="6" t="s">
        <v>12</v>
      </c>
      <c r="E1694" s="10" t="s">
        <v>33</v>
      </c>
      <c r="F1694" s="10" t="s">
        <v>46</v>
      </c>
      <c r="G1694" s="10" t="s">
        <v>65</v>
      </c>
      <c r="H1694" s="10">
        <v>15</v>
      </c>
      <c r="I1694" s="6">
        <v>250</v>
      </c>
      <c r="J1694" s="6">
        <f>H1694*I1694</f>
        <v>3750</v>
      </c>
    </row>
    <row r="1695" spans="2:10" ht="20.100000000000001" customHeight="1" x14ac:dyDescent="0.25">
      <c r="B1695" s="5">
        <v>45233</v>
      </c>
      <c r="C1695" s="8" t="str">
        <f>"Ord-11-23-"&amp;TEXT(ROW(C13),"000")</f>
        <v>Ord-11-23-013</v>
      </c>
      <c r="D1695" s="6" t="s">
        <v>21</v>
      </c>
      <c r="E1695" s="10" t="s">
        <v>36</v>
      </c>
      <c r="F1695" s="10" t="s">
        <v>36</v>
      </c>
      <c r="G1695" s="10" t="s">
        <v>85</v>
      </c>
      <c r="H1695" s="10">
        <v>2200</v>
      </c>
      <c r="I1695" s="6">
        <v>4</v>
      </c>
      <c r="J1695" s="6">
        <f>H1695*I1695</f>
        <v>8800</v>
      </c>
    </row>
    <row r="1696" spans="2:10" ht="20.100000000000001" customHeight="1" x14ac:dyDescent="0.25">
      <c r="B1696" s="5">
        <v>45233</v>
      </c>
      <c r="C1696" s="8" t="str">
        <f>"Ord-11-23-"&amp;TEXT(ROW(C14),"000")</f>
        <v>Ord-11-23-014</v>
      </c>
      <c r="D1696" s="6" t="s">
        <v>18</v>
      </c>
      <c r="E1696" s="10" t="s">
        <v>30</v>
      </c>
      <c r="F1696" s="10" t="s">
        <v>90</v>
      </c>
      <c r="G1696" s="10" t="s">
        <v>86</v>
      </c>
      <c r="H1696" s="10">
        <v>7500</v>
      </c>
      <c r="I1696" s="6">
        <v>1</v>
      </c>
      <c r="J1696" s="6">
        <f>H1696*I1696</f>
        <v>7500</v>
      </c>
    </row>
    <row r="1697" spans="2:10" ht="20.100000000000001" customHeight="1" x14ac:dyDescent="0.25">
      <c r="B1697" s="5">
        <v>45233</v>
      </c>
      <c r="C1697" s="8" t="str">
        <f>"Ord-11-23-"&amp;TEXT(ROW(C15),"000")</f>
        <v>Ord-11-23-015</v>
      </c>
      <c r="D1697" s="6" t="s">
        <v>24</v>
      </c>
      <c r="E1697" s="10" t="s">
        <v>27</v>
      </c>
      <c r="F1697" s="10" t="s">
        <v>41</v>
      </c>
      <c r="G1697" s="10" t="s">
        <v>64</v>
      </c>
      <c r="H1697" s="10">
        <v>2500</v>
      </c>
      <c r="I1697" s="6">
        <v>1</v>
      </c>
      <c r="J1697" s="6">
        <f>H1697*I1697</f>
        <v>2500</v>
      </c>
    </row>
    <row r="1698" spans="2:10" ht="20.100000000000001" customHeight="1" x14ac:dyDescent="0.25">
      <c r="B1698" s="5">
        <v>45234</v>
      </c>
      <c r="C1698" s="8" t="str">
        <f>"Ord-11-23-"&amp;TEXT(ROW(C16),"000")</f>
        <v>Ord-11-23-016</v>
      </c>
      <c r="D1698" s="6" t="s">
        <v>26</v>
      </c>
      <c r="E1698" s="10" t="s">
        <v>33</v>
      </c>
      <c r="F1698" s="10" t="s">
        <v>46</v>
      </c>
      <c r="G1698" s="10" t="s">
        <v>65</v>
      </c>
      <c r="H1698" s="10">
        <v>15</v>
      </c>
      <c r="I1698" s="6">
        <v>600</v>
      </c>
      <c r="J1698" s="6">
        <f>H1698*I1698</f>
        <v>9000</v>
      </c>
    </row>
    <row r="1699" spans="2:10" ht="20.100000000000001" customHeight="1" x14ac:dyDescent="0.25">
      <c r="B1699" s="5">
        <v>45234</v>
      </c>
      <c r="C1699" s="8" t="str">
        <f>"Ord-11-23-"&amp;TEXT(ROW(C17),"000")</f>
        <v>Ord-11-23-017</v>
      </c>
      <c r="D1699" s="6" t="s">
        <v>10</v>
      </c>
      <c r="E1699" s="10" t="s">
        <v>31</v>
      </c>
      <c r="F1699" s="10" t="s">
        <v>43</v>
      </c>
      <c r="G1699" s="10" t="s">
        <v>82</v>
      </c>
      <c r="H1699" s="10">
        <v>16000</v>
      </c>
      <c r="I1699" s="6">
        <v>2</v>
      </c>
      <c r="J1699" s="6">
        <f>H1699*I1699</f>
        <v>32000</v>
      </c>
    </row>
    <row r="1700" spans="2:10" ht="20.100000000000001" customHeight="1" x14ac:dyDescent="0.25">
      <c r="B1700" s="5">
        <v>45234</v>
      </c>
      <c r="C1700" s="8" t="str">
        <f>"Ord-11-23-"&amp;TEXT(ROW(C18),"000")</f>
        <v>Ord-11-23-018</v>
      </c>
      <c r="D1700" s="6" t="s">
        <v>23</v>
      </c>
      <c r="E1700" s="10" t="s">
        <v>31</v>
      </c>
      <c r="F1700" s="10" t="s">
        <v>48</v>
      </c>
      <c r="G1700" s="10" t="s">
        <v>66</v>
      </c>
      <c r="H1700" s="10">
        <v>3500</v>
      </c>
      <c r="I1700" s="6">
        <v>4</v>
      </c>
      <c r="J1700" s="6">
        <f>H1700*I1700</f>
        <v>14000</v>
      </c>
    </row>
    <row r="1701" spans="2:10" ht="20.100000000000001" customHeight="1" x14ac:dyDescent="0.25">
      <c r="B1701" s="5">
        <v>45234</v>
      </c>
      <c r="C1701" s="8" t="str">
        <f>"Ord-11-23-"&amp;TEXT(ROW(C19),"000")</f>
        <v>Ord-11-23-019</v>
      </c>
      <c r="D1701" s="6" t="s">
        <v>17</v>
      </c>
      <c r="E1701" s="10" t="s">
        <v>31</v>
      </c>
      <c r="F1701" s="10" t="s">
        <v>48</v>
      </c>
      <c r="G1701" s="10" t="s">
        <v>69</v>
      </c>
      <c r="H1701" s="10">
        <v>4000</v>
      </c>
      <c r="I1701" s="6">
        <v>2</v>
      </c>
      <c r="J1701" s="6">
        <f>H1701*I1701</f>
        <v>8000</v>
      </c>
    </row>
    <row r="1702" spans="2:10" ht="20.100000000000001" customHeight="1" x14ac:dyDescent="0.25">
      <c r="B1702" s="5">
        <v>45234</v>
      </c>
      <c r="C1702" s="8" t="str">
        <f>"Ord-11-23-"&amp;TEXT(ROW(C20),"000")</f>
        <v>Ord-11-23-020</v>
      </c>
      <c r="D1702" s="6" t="s">
        <v>16</v>
      </c>
      <c r="E1702" s="10" t="s">
        <v>27</v>
      </c>
      <c r="F1702" s="10" t="s">
        <v>37</v>
      </c>
      <c r="G1702" s="10" t="s">
        <v>53</v>
      </c>
      <c r="H1702" s="10">
        <v>5200</v>
      </c>
      <c r="I1702" s="6">
        <v>2</v>
      </c>
      <c r="J1702" s="6">
        <f>H1702*I1702</f>
        <v>10400</v>
      </c>
    </row>
    <row r="1703" spans="2:10" ht="20.100000000000001" customHeight="1" x14ac:dyDescent="0.25">
      <c r="B1703" s="5">
        <v>45235</v>
      </c>
      <c r="C1703" s="8" t="str">
        <f>"Ord-11-23-"&amp;TEXT(ROW(C21),"000")</f>
        <v>Ord-11-23-021</v>
      </c>
      <c r="D1703" s="6" t="s">
        <v>23</v>
      </c>
      <c r="E1703" s="10" t="s">
        <v>33</v>
      </c>
      <c r="F1703" s="10" t="s">
        <v>47</v>
      </c>
      <c r="G1703" s="10" t="s">
        <v>65</v>
      </c>
      <c r="H1703" s="10">
        <v>25</v>
      </c>
      <c r="I1703" s="6">
        <v>250</v>
      </c>
      <c r="J1703" s="6">
        <f>H1703*I1703</f>
        <v>6250</v>
      </c>
    </row>
    <row r="1704" spans="2:10" ht="20.100000000000001" customHeight="1" x14ac:dyDescent="0.25">
      <c r="B1704" s="5">
        <v>45235</v>
      </c>
      <c r="C1704" s="8" t="str">
        <f>"Ord-11-23-"&amp;TEXT(ROW(C22),"000")</f>
        <v>Ord-11-23-022</v>
      </c>
      <c r="D1704" s="6" t="s">
        <v>19</v>
      </c>
      <c r="E1704" s="10" t="s">
        <v>33</v>
      </c>
      <c r="F1704" s="10" t="s">
        <v>47</v>
      </c>
      <c r="G1704" s="10" t="s">
        <v>65</v>
      </c>
      <c r="H1704" s="10">
        <v>25</v>
      </c>
      <c r="I1704" s="6">
        <v>600</v>
      </c>
      <c r="J1704" s="6">
        <f>H1704*I1704</f>
        <v>15000</v>
      </c>
    </row>
    <row r="1705" spans="2:10" ht="20.100000000000001" customHeight="1" x14ac:dyDescent="0.25">
      <c r="B1705" s="5">
        <v>45235</v>
      </c>
      <c r="C1705" s="8" t="str">
        <f>"Ord-11-23-"&amp;TEXT(ROW(C23),"000")</f>
        <v>Ord-11-23-023</v>
      </c>
      <c r="D1705" s="6" t="s">
        <v>26</v>
      </c>
      <c r="E1705" s="10" t="s">
        <v>31</v>
      </c>
      <c r="F1705" s="10" t="s">
        <v>45</v>
      </c>
      <c r="G1705" s="10" t="s">
        <v>63</v>
      </c>
      <c r="H1705" s="10">
        <v>1800</v>
      </c>
      <c r="I1705" s="7">
        <v>5</v>
      </c>
      <c r="J1705" s="6">
        <f>H1705*I1705</f>
        <v>9000</v>
      </c>
    </row>
    <row r="1706" spans="2:10" ht="20.100000000000001" customHeight="1" x14ac:dyDescent="0.25">
      <c r="B1706" s="5">
        <v>45235</v>
      </c>
      <c r="C1706" s="8" t="str">
        <f>"Ord-11-23-"&amp;TEXT(ROW(C24),"000")</f>
        <v>Ord-11-23-024</v>
      </c>
      <c r="D1706" s="6" t="s">
        <v>13</v>
      </c>
      <c r="E1706" s="10" t="s">
        <v>31</v>
      </c>
      <c r="F1706" s="10" t="s">
        <v>48</v>
      </c>
      <c r="G1706" s="10" t="s">
        <v>59</v>
      </c>
      <c r="H1706" s="10">
        <v>4000</v>
      </c>
      <c r="I1706" s="6">
        <v>4</v>
      </c>
      <c r="J1706" s="6">
        <f>H1706*I1706</f>
        <v>16000</v>
      </c>
    </row>
    <row r="1707" spans="2:10" ht="20.100000000000001" customHeight="1" x14ac:dyDescent="0.25">
      <c r="B1707" s="5">
        <v>45235</v>
      </c>
      <c r="C1707" s="8" t="str">
        <f>"Ord-11-23-"&amp;TEXT(ROW(C25),"000")</f>
        <v>Ord-11-23-025</v>
      </c>
      <c r="D1707" s="6" t="s">
        <v>25</v>
      </c>
      <c r="E1707" s="10" t="s">
        <v>30</v>
      </c>
      <c r="F1707" s="10" t="s">
        <v>90</v>
      </c>
      <c r="G1707" s="10" t="s">
        <v>86</v>
      </c>
      <c r="H1707" s="10">
        <v>7500</v>
      </c>
      <c r="I1707" s="6">
        <v>2</v>
      </c>
      <c r="J1707" s="6">
        <f>H1707*I1707</f>
        <v>15000</v>
      </c>
    </row>
    <row r="1708" spans="2:10" ht="20.100000000000001" customHeight="1" x14ac:dyDescent="0.25">
      <c r="B1708" s="5">
        <v>45236</v>
      </c>
      <c r="C1708" s="8" t="str">
        <f>"Ord-11-23-"&amp;TEXT(ROW(C26),"000")</f>
        <v>Ord-11-23-026</v>
      </c>
      <c r="D1708" s="6" t="s">
        <v>14</v>
      </c>
      <c r="E1708" s="10" t="s">
        <v>35</v>
      </c>
      <c r="F1708" s="12" t="s">
        <v>90</v>
      </c>
      <c r="G1708" s="10" t="s">
        <v>55</v>
      </c>
      <c r="H1708" s="10">
        <v>5000</v>
      </c>
      <c r="I1708" s="6">
        <v>1</v>
      </c>
      <c r="J1708" s="6">
        <f>H1708*I1708</f>
        <v>5000</v>
      </c>
    </row>
    <row r="1709" spans="2:10" ht="20.100000000000001" customHeight="1" x14ac:dyDescent="0.25">
      <c r="B1709" s="5">
        <v>45236</v>
      </c>
      <c r="C1709" s="8" t="str">
        <f>"Ord-11-23-"&amp;TEXT(ROW(C27),"000")</f>
        <v>Ord-11-23-027</v>
      </c>
      <c r="D1709" s="6" t="s">
        <v>15</v>
      </c>
      <c r="E1709" s="10" t="s">
        <v>32</v>
      </c>
      <c r="F1709" s="10" t="s">
        <v>44</v>
      </c>
      <c r="G1709" s="10" t="s">
        <v>74</v>
      </c>
      <c r="H1709" s="10">
        <v>1800</v>
      </c>
      <c r="I1709" s="6">
        <v>4</v>
      </c>
      <c r="J1709" s="6">
        <f>H1709*I1709</f>
        <v>7200</v>
      </c>
    </row>
    <row r="1710" spans="2:10" ht="20.100000000000001" customHeight="1" x14ac:dyDescent="0.25">
      <c r="B1710" s="5">
        <v>45236</v>
      </c>
      <c r="C1710" s="8" t="str">
        <f>"Ord-11-23-"&amp;TEXT(ROW(C28),"000")</f>
        <v>Ord-11-23-028</v>
      </c>
      <c r="D1710" s="6" t="s">
        <v>17</v>
      </c>
      <c r="E1710" s="10" t="s">
        <v>27</v>
      </c>
      <c r="F1710" s="10" t="s">
        <v>50</v>
      </c>
      <c r="G1710" s="10" t="s">
        <v>64</v>
      </c>
      <c r="H1710" s="10">
        <v>3000</v>
      </c>
      <c r="I1710" s="6">
        <v>2</v>
      </c>
      <c r="J1710" s="6">
        <f>H1710*I1710</f>
        <v>6000</v>
      </c>
    </row>
    <row r="1711" spans="2:10" ht="20.100000000000001" customHeight="1" x14ac:dyDescent="0.25">
      <c r="B1711" s="5">
        <v>45236</v>
      </c>
      <c r="C1711" s="8" t="str">
        <f>"Ord-11-23-"&amp;TEXT(ROW(C29),"000")</f>
        <v>Ord-11-23-029</v>
      </c>
      <c r="D1711" s="6" t="s">
        <v>15</v>
      </c>
      <c r="E1711" s="10" t="s">
        <v>27</v>
      </c>
      <c r="F1711" s="10" t="s">
        <v>38</v>
      </c>
      <c r="G1711" s="10" t="s">
        <v>64</v>
      </c>
      <c r="H1711" s="10">
        <v>4800</v>
      </c>
      <c r="I1711" s="6">
        <v>2</v>
      </c>
      <c r="J1711" s="6">
        <f>H1711*I1711</f>
        <v>9600</v>
      </c>
    </row>
    <row r="1712" spans="2:10" ht="20.100000000000001" customHeight="1" x14ac:dyDescent="0.25">
      <c r="B1712" s="5">
        <v>45236</v>
      </c>
      <c r="C1712" s="8" t="str">
        <f>"Ord-11-23-"&amp;TEXT(ROW(C30),"000")</f>
        <v>Ord-11-23-030</v>
      </c>
      <c r="D1712" s="6" t="s">
        <v>15</v>
      </c>
      <c r="E1712" s="10" t="s">
        <v>27</v>
      </c>
      <c r="F1712" s="10" t="s">
        <v>41</v>
      </c>
      <c r="G1712" s="10" t="s">
        <v>54</v>
      </c>
      <c r="H1712" s="10">
        <v>2800</v>
      </c>
      <c r="I1712" s="6">
        <v>2</v>
      </c>
      <c r="J1712" s="6">
        <f>H1712*I1712</f>
        <v>5600</v>
      </c>
    </row>
    <row r="1713" spans="2:10" ht="20.100000000000001" customHeight="1" x14ac:dyDescent="0.25">
      <c r="B1713" s="5">
        <v>45237</v>
      </c>
      <c r="C1713" s="8" t="str">
        <f>"Ord-11-23-"&amp;TEXT(ROW(C31),"000")</f>
        <v>Ord-11-23-031</v>
      </c>
      <c r="D1713" s="6" t="s">
        <v>23</v>
      </c>
      <c r="E1713" s="10" t="s">
        <v>32</v>
      </c>
      <c r="F1713" s="10" t="s">
        <v>44</v>
      </c>
      <c r="G1713" s="10" t="s">
        <v>62</v>
      </c>
      <c r="H1713" s="10">
        <v>1200</v>
      </c>
      <c r="I1713" s="6">
        <v>1</v>
      </c>
      <c r="J1713" s="6">
        <f>H1713*I1713</f>
        <v>1200</v>
      </c>
    </row>
    <row r="1714" spans="2:10" ht="20.100000000000001" customHeight="1" x14ac:dyDescent="0.25">
      <c r="B1714" s="4">
        <v>45237</v>
      </c>
      <c r="C1714" s="8" t="str">
        <f>"Ord-11-23-"&amp;TEXT(ROW(C32),"000")</f>
        <v>Ord-11-23-032</v>
      </c>
      <c r="D1714" s="6" t="s">
        <v>17</v>
      </c>
      <c r="E1714" s="10" t="s">
        <v>32</v>
      </c>
      <c r="F1714" s="10" t="s">
        <v>51</v>
      </c>
      <c r="G1714" s="10" t="s">
        <v>70</v>
      </c>
      <c r="H1714" s="13">
        <v>2600</v>
      </c>
      <c r="I1714" s="7">
        <v>5</v>
      </c>
      <c r="J1714" s="6">
        <f>H1714*I1714</f>
        <v>13000</v>
      </c>
    </row>
    <row r="1715" spans="2:10" ht="20.100000000000001" customHeight="1" x14ac:dyDescent="0.25">
      <c r="B1715" s="5">
        <v>45237</v>
      </c>
      <c r="C1715" s="8" t="str">
        <f>"Ord-11-23-"&amp;TEXT(ROW(C33),"000")</f>
        <v>Ord-11-23-033</v>
      </c>
      <c r="D1715" s="6" t="s">
        <v>26</v>
      </c>
      <c r="E1715" s="10" t="s">
        <v>33</v>
      </c>
      <c r="F1715" s="10" t="s">
        <v>47</v>
      </c>
      <c r="G1715" s="10" t="s">
        <v>65</v>
      </c>
      <c r="H1715" s="10">
        <v>25</v>
      </c>
      <c r="I1715" s="6">
        <v>250</v>
      </c>
      <c r="J1715" s="6">
        <f>H1715*I1715</f>
        <v>6250</v>
      </c>
    </row>
    <row r="1716" spans="2:10" ht="20.100000000000001" customHeight="1" x14ac:dyDescent="0.25">
      <c r="B1716" s="4">
        <v>45237</v>
      </c>
      <c r="C1716" s="8" t="str">
        <f>"Ord-11-23-"&amp;TEXT(ROW(C34),"000")</f>
        <v>Ord-11-23-034</v>
      </c>
      <c r="D1716" s="6" t="s">
        <v>13</v>
      </c>
      <c r="E1716" s="10" t="s">
        <v>31</v>
      </c>
      <c r="F1716" s="10" t="s">
        <v>43</v>
      </c>
      <c r="G1716" s="10" t="s">
        <v>69</v>
      </c>
      <c r="H1716" s="13">
        <v>4900</v>
      </c>
      <c r="I1716" s="7">
        <v>3</v>
      </c>
      <c r="J1716" s="6">
        <f>H1716*I1716</f>
        <v>14700</v>
      </c>
    </row>
    <row r="1717" spans="2:10" ht="20.100000000000001" customHeight="1" x14ac:dyDescent="0.25">
      <c r="B1717" s="5">
        <v>45237</v>
      </c>
      <c r="C1717" s="8" t="str">
        <f>"Ord-11-23-"&amp;TEXT(ROW(C35),"000")</f>
        <v>Ord-11-23-035</v>
      </c>
      <c r="D1717" s="6" t="s">
        <v>19</v>
      </c>
      <c r="E1717" s="10" t="s">
        <v>31</v>
      </c>
      <c r="F1717" s="10" t="s">
        <v>52</v>
      </c>
      <c r="G1717" s="10" t="s">
        <v>82</v>
      </c>
      <c r="H1717" s="10">
        <v>5000</v>
      </c>
      <c r="I1717" s="6">
        <v>3</v>
      </c>
      <c r="J1717" s="6">
        <f>H1717*I1717</f>
        <v>15000</v>
      </c>
    </row>
    <row r="1718" spans="2:10" ht="20.100000000000001" customHeight="1" x14ac:dyDescent="0.25">
      <c r="B1718" s="5">
        <v>45237</v>
      </c>
      <c r="C1718" s="8" t="str">
        <f>"Ord-11-23-"&amp;TEXT(ROW(C36),"000")</f>
        <v>Ord-11-23-036</v>
      </c>
      <c r="D1718" s="6" t="s">
        <v>21</v>
      </c>
      <c r="E1718" s="10" t="s">
        <v>29</v>
      </c>
      <c r="F1718" s="10" t="s">
        <v>40</v>
      </c>
      <c r="G1718" s="10" t="s">
        <v>57</v>
      </c>
      <c r="H1718" s="10">
        <v>4000</v>
      </c>
      <c r="I1718" s="6">
        <v>4</v>
      </c>
      <c r="J1718" s="6">
        <f>H1718*I1718</f>
        <v>16000</v>
      </c>
    </row>
    <row r="1719" spans="2:10" ht="20.100000000000001" customHeight="1" x14ac:dyDescent="0.25">
      <c r="B1719" s="5">
        <v>45237</v>
      </c>
      <c r="C1719" s="8" t="str">
        <f>"Ord-11-23-"&amp;TEXT(ROW(C37),"000")</f>
        <v>Ord-11-23-037</v>
      </c>
      <c r="D1719" s="6" t="s">
        <v>26</v>
      </c>
      <c r="E1719" s="10" t="s">
        <v>29</v>
      </c>
      <c r="F1719" s="10" t="s">
        <v>40</v>
      </c>
      <c r="G1719" s="10" t="s">
        <v>57</v>
      </c>
      <c r="H1719" s="10">
        <v>4000</v>
      </c>
      <c r="I1719" s="6">
        <v>2</v>
      </c>
      <c r="J1719" s="6">
        <f>H1719*I1719</f>
        <v>8000</v>
      </c>
    </row>
    <row r="1720" spans="2:10" ht="20.100000000000001" customHeight="1" x14ac:dyDescent="0.25">
      <c r="B1720" s="4">
        <v>45237</v>
      </c>
      <c r="C1720" s="8" t="str">
        <f>"Ord-11-23-"&amp;TEXT(ROW(C38),"000")</f>
        <v>Ord-11-23-038</v>
      </c>
      <c r="D1720" s="6" t="s">
        <v>16</v>
      </c>
      <c r="E1720" s="10" t="s">
        <v>27</v>
      </c>
      <c r="F1720" s="10" t="s">
        <v>50</v>
      </c>
      <c r="G1720" s="10" t="s">
        <v>54</v>
      </c>
      <c r="H1720" s="13">
        <v>3200</v>
      </c>
      <c r="I1720" s="7">
        <v>1</v>
      </c>
      <c r="J1720" s="6">
        <f>H1720*I1720</f>
        <v>3200</v>
      </c>
    </row>
    <row r="1721" spans="2:10" ht="20.100000000000001" customHeight="1" x14ac:dyDescent="0.25">
      <c r="B1721" s="4">
        <v>45237</v>
      </c>
      <c r="C1721" s="8" t="str">
        <f>"Ord-11-23-"&amp;TEXT(ROW(C39),"000")</f>
        <v>Ord-11-23-039</v>
      </c>
      <c r="D1721" s="6" t="s">
        <v>26</v>
      </c>
      <c r="E1721" s="10" t="s">
        <v>27</v>
      </c>
      <c r="F1721" s="10" t="s">
        <v>41</v>
      </c>
      <c r="G1721" s="10" t="s">
        <v>53</v>
      </c>
      <c r="H1721" s="13">
        <v>3000</v>
      </c>
      <c r="I1721" s="7">
        <v>5</v>
      </c>
      <c r="J1721" s="6">
        <f>H1721*I1721</f>
        <v>15000</v>
      </c>
    </row>
    <row r="1722" spans="2:10" ht="20.100000000000001" customHeight="1" x14ac:dyDescent="0.25">
      <c r="B1722" s="4">
        <v>45237</v>
      </c>
      <c r="C1722" s="8" t="str">
        <f>"Ord-11-23-"&amp;TEXT(ROW(C40),"000")</f>
        <v>Ord-11-23-040</v>
      </c>
      <c r="D1722" s="6" t="s">
        <v>10</v>
      </c>
      <c r="E1722" s="10" t="s">
        <v>27</v>
      </c>
      <c r="F1722" s="10" t="s">
        <v>41</v>
      </c>
      <c r="G1722" s="10" t="s">
        <v>53</v>
      </c>
      <c r="H1722" s="13">
        <v>3000</v>
      </c>
      <c r="I1722" s="7">
        <v>4</v>
      </c>
      <c r="J1722" s="6">
        <f>H1722*I1722</f>
        <v>12000</v>
      </c>
    </row>
    <row r="1723" spans="2:10" ht="20.100000000000001" customHeight="1" x14ac:dyDescent="0.25">
      <c r="B1723" s="5">
        <v>45238</v>
      </c>
      <c r="C1723" s="8" t="str">
        <f>"Ord-11-23-"&amp;TEXT(ROW(C41),"000")</f>
        <v>Ord-11-23-041</v>
      </c>
      <c r="D1723" s="6" t="s">
        <v>11</v>
      </c>
      <c r="E1723" s="10" t="s">
        <v>35</v>
      </c>
      <c r="F1723" s="12" t="s">
        <v>90</v>
      </c>
      <c r="G1723" s="10" t="s">
        <v>77</v>
      </c>
      <c r="H1723" s="10">
        <v>8500</v>
      </c>
      <c r="I1723" s="6">
        <v>3</v>
      </c>
      <c r="J1723" s="6">
        <f>H1723*I1723</f>
        <v>25500</v>
      </c>
    </row>
    <row r="1724" spans="2:10" ht="20.100000000000001" customHeight="1" x14ac:dyDescent="0.25">
      <c r="B1724" s="5">
        <v>45238</v>
      </c>
      <c r="C1724" s="8" t="str">
        <f>"Ord-11-23-"&amp;TEXT(ROW(C42),"000")</f>
        <v>Ord-11-23-042</v>
      </c>
      <c r="D1724" s="6" t="s">
        <v>12</v>
      </c>
      <c r="E1724" s="10" t="s">
        <v>28</v>
      </c>
      <c r="F1724" s="10" t="s">
        <v>28</v>
      </c>
      <c r="G1724" s="10" t="s">
        <v>58</v>
      </c>
      <c r="H1724" s="10">
        <v>1000</v>
      </c>
      <c r="I1724" s="6">
        <v>4</v>
      </c>
      <c r="J1724" s="6">
        <f>H1724*I1724</f>
        <v>4000</v>
      </c>
    </row>
    <row r="1725" spans="2:10" ht="20.100000000000001" customHeight="1" x14ac:dyDescent="0.25">
      <c r="B1725" s="5">
        <v>45238</v>
      </c>
      <c r="C1725" s="8" t="str">
        <f>"Ord-11-23-"&amp;TEXT(ROW(C43),"000")</f>
        <v>Ord-11-23-043</v>
      </c>
      <c r="D1725" s="6" t="s">
        <v>13</v>
      </c>
      <c r="E1725" s="10" t="s">
        <v>32</v>
      </c>
      <c r="F1725" s="10" t="s">
        <v>44</v>
      </c>
      <c r="G1725" s="10" t="s">
        <v>74</v>
      </c>
      <c r="H1725" s="10">
        <v>1800</v>
      </c>
      <c r="I1725" s="6">
        <v>5</v>
      </c>
      <c r="J1725" s="6">
        <f>H1725*I1725</f>
        <v>9000</v>
      </c>
    </row>
    <row r="1726" spans="2:10" ht="20.100000000000001" customHeight="1" x14ac:dyDescent="0.25">
      <c r="B1726" s="5">
        <v>45238</v>
      </c>
      <c r="C1726" s="8" t="str">
        <f>"Ord-11-23-"&amp;TEXT(ROW(C44),"000")</f>
        <v>Ord-11-23-044</v>
      </c>
      <c r="D1726" s="6" t="s">
        <v>17</v>
      </c>
      <c r="E1726" s="10" t="s">
        <v>33</v>
      </c>
      <c r="F1726" s="10" t="s">
        <v>47</v>
      </c>
      <c r="G1726" s="10" t="s">
        <v>65</v>
      </c>
      <c r="H1726" s="10">
        <v>25</v>
      </c>
      <c r="I1726" s="6">
        <v>500</v>
      </c>
      <c r="J1726" s="6">
        <f>H1726*I1726</f>
        <v>12500</v>
      </c>
    </row>
    <row r="1727" spans="2:10" ht="20.100000000000001" customHeight="1" x14ac:dyDescent="0.25">
      <c r="B1727" s="5">
        <v>45238</v>
      </c>
      <c r="C1727" s="8" t="str">
        <f>"Ord-11-23-"&amp;TEXT(ROW(C45),"000")</f>
        <v>Ord-11-23-045</v>
      </c>
      <c r="D1727" s="6" t="s">
        <v>9</v>
      </c>
      <c r="E1727" s="10" t="s">
        <v>27</v>
      </c>
      <c r="F1727" s="10" t="s">
        <v>37</v>
      </c>
      <c r="G1727" s="10" t="s">
        <v>54</v>
      </c>
      <c r="H1727" s="10">
        <v>5000</v>
      </c>
      <c r="I1727" s="6">
        <v>2</v>
      </c>
      <c r="J1727" s="6">
        <f>H1727*I1727</f>
        <v>10000</v>
      </c>
    </row>
    <row r="1728" spans="2:10" ht="20.100000000000001" customHeight="1" x14ac:dyDescent="0.25">
      <c r="B1728" s="5">
        <v>45239</v>
      </c>
      <c r="C1728" s="8" t="str">
        <f>"Ord-11-23-"&amp;TEXT(ROW(C46),"000")</f>
        <v>Ord-11-23-046</v>
      </c>
      <c r="D1728" s="6" t="s">
        <v>16</v>
      </c>
      <c r="E1728" s="10" t="s">
        <v>33</v>
      </c>
      <c r="F1728" s="10" t="s">
        <v>46</v>
      </c>
      <c r="G1728" s="10" t="s">
        <v>65</v>
      </c>
      <c r="H1728" s="10">
        <v>15</v>
      </c>
      <c r="I1728" s="6">
        <v>250</v>
      </c>
      <c r="J1728" s="6">
        <f>H1728*I1728</f>
        <v>3750</v>
      </c>
    </row>
    <row r="1729" spans="2:10" ht="20.100000000000001" customHeight="1" x14ac:dyDescent="0.25">
      <c r="B1729" s="5">
        <v>45239</v>
      </c>
      <c r="C1729" s="8" t="str">
        <f>"Ord-11-23-"&amp;TEXT(ROW(C47),"000")</f>
        <v>Ord-11-23-047</v>
      </c>
      <c r="D1729" s="6" t="s">
        <v>18</v>
      </c>
      <c r="E1729" s="10" t="s">
        <v>31</v>
      </c>
      <c r="F1729" s="10" t="s">
        <v>45</v>
      </c>
      <c r="G1729" s="10" t="s">
        <v>67</v>
      </c>
      <c r="H1729" s="10">
        <v>8500</v>
      </c>
      <c r="I1729" s="6">
        <v>1</v>
      </c>
      <c r="J1729" s="6">
        <f>H1729*I1729</f>
        <v>8500</v>
      </c>
    </row>
    <row r="1730" spans="2:10" ht="20.100000000000001" customHeight="1" x14ac:dyDescent="0.25">
      <c r="B1730" s="5">
        <v>45239</v>
      </c>
      <c r="C1730" s="8" t="str">
        <f>"Ord-11-23-"&amp;TEXT(ROW(C48),"000")</f>
        <v>Ord-11-23-048</v>
      </c>
      <c r="D1730" s="6" t="s">
        <v>21</v>
      </c>
      <c r="E1730" s="10" t="s">
        <v>31</v>
      </c>
      <c r="F1730" s="10" t="s">
        <v>52</v>
      </c>
      <c r="G1730" s="10" t="s">
        <v>82</v>
      </c>
      <c r="H1730" s="10">
        <v>5000</v>
      </c>
      <c r="I1730" s="6">
        <v>2</v>
      </c>
      <c r="J1730" s="6">
        <f>H1730*I1730</f>
        <v>10000</v>
      </c>
    </row>
    <row r="1731" spans="2:10" ht="20.100000000000001" customHeight="1" x14ac:dyDescent="0.25">
      <c r="B1731" s="5">
        <v>45239</v>
      </c>
      <c r="C1731" s="8" t="str">
        <f>"Ord-11-23-"&amp;TEXT(ROW(C49),"000")</f>
        <v>Ord-11-23-049</v>
      </c>
      <c r="D1731" s="6" t="s">
        <v>23</v>
      </c>
      <c r="E1731" s="10" t="s">
        <v>27</v>
      </c>
      <c r="F1731" s="10" t="s">
        <v>37</v>
      </c>
      <c r="G1731" s="10" t="s">
        <v>54</v>
      </c>
      <c r="H1731" s="10">
        <v>5000</v>
      </c>
      <c r="I1731" s="6">
        <v>2</v>
      </c>
      <c r="J1731" s="6">
        <f>H1731*I1731</f>
        <v>10000</v>
      </c>
    </row>
    <row r="1732" spans="2:10" ht="20.100000000000001" customHeight="1" x14ac:dyDescent="0.25">
      <c r="B1732" s="5">
        <v>45239</v>
      </c>
      <c r="C1732" s="8" t="str">
        <f>"Ord-11-23-"&amp;TEXT(ROW(C50),"000")</f>
        <v>Ord-11-23-050</v>
      </c>
      <c r="D1732" s="6" t="s">
        <v>10</v>
      </c>
      <c r="E1732" s="10" t="s">
        <v>27</v>
      </c>
      <c r="F1732" s="10" t="s">
        <v>41</v>
      </c>
      <c r="G1732" s="10" t="s">
        <v>64</v>
      </c>
      <c r="H1732" s="10">
        <v>2500</v>
      </c>
      <c r="I1732" s="6">
        <v>5</v>
      </c>
      <c r="J1732" s="6">
        <f>H1732*I1732</f>
        <v>12500</v>
      </c>
    </row>
    <row r="1733" spans="2:10" ht="20.100000000000001" customHeight="1" x14ac:dyDescent="0.25">
      <c r="B1733" s="5">
        <v>45240</v>
      </c>
      <c r="C1733" s="8" t="str">
        <f>"Ord-11-23-"&amp;TEXT(ROW(C51),"000")</f>
        <v>Ord-11-23-051</v>
      </c>
      <c r="D1733" s="6" t="s">
        <v>19</v>
      </c>
      <c r="E1733" s="10" t="s">
        <v>33</v>
      </c>
      <c r="F1733" s="10" t="s">
        <v>46</v>
      </c>
      <c r="G1733" s="10" t="s">
        <v>65</v>
      </c>
      <c r="H1733" s="10">
        <v>15</v>
      </c>
      <c r="I1733" s="6">
        <v>500</v>
      </c>
      <c r="J1733" s="6">
        <f>H1733*I1733</f>
        <v>7500</v>
      </c>
    </row>
    <row r="1734" spans="2:10" ht="20.100000000000001" customHeight="1" x14ac:dyDescent="0.25">
      <c r="B1734" s="5">
        <v>45240</v>
      </c>
      <c r="C1734" s="8" t="str">
        <f>"Ord-11-23-"&amp;TEXT(ROW(C52),"000")</f>
        <v>Ord-11-23-052</v>
      </c>
      <c r="D1734" s="6" t="s">
        <v>25</v>
      </c>
      <c r="E1734" s="10" t="s">
        <v>29</v>
      </c>
      <c r="F1734" s="10" t="s">
        <v>40</v>
      </c>
      <c r="G1734" s="10" t="s">
        <v>84</v>
      </c>
      <c r="H1734" s="10">
        <v>7500</v>
      </c>
      <c r="I1734" s="6">
        <v>1</v>
      </c>
      <c r="J1734" s="6">
        <f>H1734*I1734</f>
        <v>7500</v>
      </c>
    </row>
    <row r="1735" spans="2:10" ht="20.100000000000001" customHeight="1" x14ac:dyDescent="0.25">
      <c r="B1735" s="5">
        <v>45240</v>
      </c>
      <c r="C1735" s="8" t="str">
        <f>"Ord-11-23-"&amp;TEXT(ROW(C53),"000")</f>
        <v>Ord-11-23-053</v>
      </c>
      <c r="D1735" s="6" t="s">
        <v>26</v>
      </c>
      <c r="E1735" s="10" t="s">
        <v>27</v>
      </c>
      <c r="F1735" s="10" t="s">
        <v>38</v>
      </c>
      <c r="G1735" s="10" t="s">
        <v>54</v>
      </c>
      <c r="H1735" s="10">
        <v>5200</v>
      </c>
      <c r="I1735" s="6">
        <v>2</v>
      </c>
      <c r="J1735" s="6">
        <f>H1735*I1735</f>
        <v>10400</v>
      </c>
    </row>
    <row r="1736" spans="2:10" ht="20.100000000000001" customHeight="1" x14ac:dyDescent="0.25">
      <c r="B1736" s="5">
        <v>45240</v>
      </c>
      <c r="C1736" s="8" t="str">
        <f>"Ord-11-23-"&amp;TEXT(ROW(C54),"000")</f>
        <v>Ord-11-23-054</v>
      </c>
      <c r="D1736" s="6" t="s">
        <v>17</v>
      </c>
      <c r="E1736" s="10" t="s">
        <v>27</v>
      </c>
      <c r="F1736" s="10" t="s">
        <v>37</v>
      </c>
      <c r="G1736" s="10" t="s">
        <v>64</v>
      </c>
      <c r="H1736" s="10">
        <v>4500</v>
      </c>
      <c r="I1736" s="6">
        <v>1</v>
      </c>
      <c r="J1736" s="6">
        <f>H1736*I1736</f>
        <v>4500</v>
      </c>
    </row>
    <row r="1737" spans="2:10" ht="20.100000000000001" customHeight="1" x14ac:dyDescent="0.25">
      <c r="B1737" s="5">
        <v>45240</v>
      </c>
      <c r="C1737" s="8" t="str">
        <f>"Ord-11-23-"&amp;TEXT(ROW(C55),"000")</f>
        <v>Ord-11-23-055</v>
      </c>
      <c r="D1737" s="6" t="s">
        <v>24</v>
      </c>
      <c r="E1737" s="10" t="s">
        <v>34</v>
      </c>
      <c r="F1737" s="10" t="s">
        <v>49</v>
      </c>
      <c r="G1737" s="10" t="s">
        <v>75</v>
      </c>
      <c r="H1737" s="10">
        <v>4300</v>
      </c>
      <c r="I1737" s="6">
        <v>2</v>
      </c>
      <c r="J1737" s="6">
        <f>H1737*I1737</f>
        <v>8600</v>
      </c>
    </row>
    <row r="1738" spans="2:10" ht="20.100000000000001" customHeight="1" x14ac:dyDescent="0.25">
      <c r="B1738" s="5">
        <v>45241</v>
      </c>
      <c r="C1738" s="8" t="str">
        <f>"Ord-11-23-"&amp;TEXT(ROW(C56),"000")</f>
        <v>Ord-11-23-056</v>
      </c>
      <c r="D1738" s="6" t="s">
        <v>24</v>
      </c>
      <c r="E1738" s="10" t="s">
        <v>35</v>
      </c>
      <c r="F1738" s="12" t="s">
        <v>90</v>
      </c>
      <c r="G1738" s="10" t="s">
        <v>55</v>
      </c>
      <c r="H1738" s="10">
        <v>5000</v>
      </c>
      <c r="I1738" s="6">
        <v>3</v>
      </c>
      <c r="J1738" s="6">
        <f>H1738*I1738</f>
        <v>15000</v>
      </c>
    </row>
    <row r="1739" spans="2:10" ht="20.100000000000001" customHeight="1" x14ac:dyDescent="0.25">
      <c r="B1739" s="5">
        <v>45241</v>
      </c>
      <c r="C1739" s="8" t="str">
        <f>"Ord-11-23-"&amp;TEXT(ROW(C57),"000")</f>
        <v>Ord-11-23-057</v>
      </c>
      <c r="D1739" s="6" t="s">
        <v>10</v>
      </c>
      <c r="E1739" s="10" t="s">
        <v>33</v>
      </c>
      <c r="F1739" s="10" t="s">
        <v>47</v>
      </c>
      <c r="G1739" s="10" t="s">
        <v>65</v>
      </c>
      <c r="H1739" s="10">
        <v>25</v>
      </c>
      <c r="I1739" s="6">
        <v>400</v>
      </c>
      <c r="J1739" s="6">
        <f>H1739*I1739</f>
        <v>10000</v>
      </c>
    </row>
    <row r="1740" spans="2:10" ht="20.100000000000001" customHeight="1" x14ac:dyDescent="0.25">
      <c r="B1740" s="5">
        <v>45241</v>
      </c>
      <c r="C1740" s="8" t="str">
        <f>"Ord-11-23-"&amp;TEXT(ROW(C58),"000")</f>
        <v>Ord-11-23-058</v>
      </c>
      <c r="D1740" s="6" t="s">
        <v>20</v>
      </c>
      <c r="E1740" s="10" t="s">
        <v>31</v>
      </c>
      <c r="F1740" s="10" t="s">
        <v>48</v>
      </c>
      <c r="G1740" s="10" t="s">
        <v>67</v>
      </c>
      <c r="H1740" s="10">
        <v>8000</v>
      </c>
      <c r="I1740" s="6">
        <v>2</v>
      </c>
      <c r="J1740" s="6">
        <f>H1740*I1740</f>
        <v>16000</v>
      </c>
    </row>
    <row r="1741" spans="2:10" ht="20.100000000000001" customHeight="1" x14ac:dyDescent="0.25">
      <c r="B1741" s="5">
        <v>45241</v>
      </c>
      <c r="C1741" s="8" t="str">
        <f>"Ord-11-23-"&amp;TEXT(ROW(C59),"000")</f>
        <v>Ord-11-23-059</v>
      </c>
      <c r="D1741" s="6" t="s">
        <v>24</v>
      </c>
      <c r="E1741" s="10" t="s">
        <v>30</v>
      </c>
      <c r="F1741" s="10" t="s">
        <v>90</v>
      </c>
      <c r="G1741" s="10" t="s">
        <v>86</v>
      </c>
      <c r="H1741" s="10">
        <v>7500</v>
      </c>
      <c r="I1741" s="6">
        <v>5</v>
      </c>
      <c r="J1741" s="6">
        <f>H1741*I1741</f>
        <v>37500</v>
      </c>
    </row>
    <row r="1742" spans="2:10" ht="20.100000000000001" customHeight="1" x14ac:dyDescent="0.25">
      <c r="B1742" s="5">
        <v>45241</v>
      </c>
      <c r="C1742" s="8" t="str">
        <f>"Ord-11-23-"&amp;TEXT(ROW(C60),"000")</f>
        <v>Ord-11-23-060</v>
      </c>
      <c r="D1742" s="6" t="s">
        <v>18</v>
      </c>
      <c r="E1742" s="10" t="s">
        <v>27</v>
      </c>
      <c r="F1742" s="10" t="s">
        <v>37</v>
      </c>
      <c r="G1742" s="10" t="s">
        <v>64</v>
      </c>
      <c r="H1742" s="10">
        <v>4500</v>
      </c>
      <c r="I1742" s="6">
        <v>2</v>
      </c>
      <c r="J1742" s="6">
        <f>H1742*I1742</f>
        <v>9000</v>
      </c>
    </row>
    <row r="1743" spans="2:10" ht="20.100000000000001" customHeight="1" x14ac:dyDescent="0.25">
      <c r="B1743" s="5">
        <v>45242</v>
      </c>
      <c r="C1743" s="8" t="str">
        <f>"Ord-11-23-"&amp;TEXT(ROW(C61),"000")</f>
        <v>Ord-11-23-061</v>
      </c>
      <c r="D1743" s="6" t="s">
        <v>18</v>
      </c>
      <c r="E1743" s="10" t="s">
        <v>32</v>
      </c>
      <c r="F1743" s="10" t="s">
        <v>51</v>
      </c>
      <c r="G1743" s="10" t="s">
        <v>70</v>
      </c>
      <c r="H1743" s="10">
        <v>2600</v>
      </c>
      <c r="I1743" s="6">
        <v>5</v>
      </c>
      <c r="J1743" s="6">
        <f>H1743*I1743</f>
        <v>13000</v>
      </c>
    </row>
    <row r="1744" spans="2:10" ht="20.100000000000001" customHeight="1" x14ac:dyDescent="0.25">
      <c r="B1744" s="5">
        <v>45242</v>
      </c>
      <c r="C1744" s="8" t="str">
        <f>"Ord-11-23-"&amp;TEXT(ROW(C62),"000")</f>
        <v>Ord-11-23-062</v>
      </c>
      <c r="D1744" s="6" t="s">
        <v>16</v>
      </c>
      <c r="E1744" s="10" t="s">
        <v>31</v>
      </c>
      <c r="F1744" s="10" t="s">
        <v>48</v>
      </c>
      <c r="G1744" s="10" t="s">
        <v>63</v>
      </c>
      <c r="H1744" s="10">
        <v>4200</v>
      </c>
      <c r="I1744" s="6">
        <v>2</v>
      </c>
      <c r="J1744" s="6">
        <f>H1744*I1744</f>
        <v>8400</v>
      </c>
    </row>
    <row r="1745" spans="2:10" ht="20.100000000000001" customHeight="1" x14ac:dyDescent="0.25">
      <c r="B1745" s="5">
        <v>45242</v>
      </c>
      <c r="C1745" s="8" t="str">
        <f>"Ord-11-23-"&amp;TEXT(ROW(C63),"000")</f>
        <v>Ord-11-23-063</v>
      </c>
      <c r="D1745" s="6" t="s">
        <v>12</v>
      </c>
      <c r="E1745" s="10" t="s">
        <v>27</v>
      </c>
      <c r="F1745" s="10" t="s">
        <v>42</v>
      </c>
      <c r="G1745" s="10" t="s">
        <v>42</v>
      </c>
      <c r="H1745" s="10">
        <v>2500</v>
      </c>
      <c r="I1745" s="6">
        <v>5</v>
      </c>
      <c r="J1745" s="6">
        <f>H1745*I1745</f>
        <v>12500</v>
      </c>
    </row>
    <row r="1746" spans="2:10" ht="20.100000000000001" customHeight="1" x14ac:dyDescent="0.25">
      <c r="B1746" s="5">
        <v>45242</v>
      </c>
      <c r="C1746" s="8" t="str">
        <f>"Ord-11-23-"&amp;TEXT(ROW(C64),"000")</f>
        <v>Ord-11-23-064</v>
      </c>
      <c r="D1746" s="6" t="s">
        <v>7</v>
      </c>
      <c r="E1746" s="10" t="s">
        <v>27</v>
      </c>
      <c r="F1746" s="10" t="s">
        <v>42</v>
      </c>
      <c r="G1746" s="10" t="s">
        <v>42</v>
      </c>
      <c r="H1746" s="10">
        <v>2500</v>
      </c>
      <c r="I1746" s="6">
        <v>4</v>
      </c>
      <c r="J1746" s="6">
        <f>H1746*I1746</f>
        <v>10000</v>
      </c>
    </row>
    <row r="1747" spans="2:10" ht="20.100000000000001" customHeight="1" x14ac:dyDescent="0.25">
      <c r="B1747" s="5">
        <v>45242</v>
      </c>
      <c r="C1747" s="8" t="str">
        <f>"Ord-11-23-"&amp;TEXT(ROW(C65),"000")</f>
        <v>Ord-11-23-065</v>
      </c>
      <c r="D1747" s="6" t="s">
        <v>11</v>
      </c>
      <c r="E1747" s="10" t="s">
        <v>27</v>
      </c>
      <c r="F1747" s="10" t="s">
        <v>50</v>
      </c>
      <c r="G1747" s="10" t="s">
        <v>64</v>
      </c>
      <c r="H1747" s="10">
        <v>3000</v>
      </c>
      <c r="I1747" s="6">
        <v>5</v>
      </c>
      <c r="J1747" s="6">
        <f>H1747*I1747</f>
        <v>15000</v>
      </c>
    </row>
    <row r="1748" spans="2:10" ht="20.100000000000001" customHeight="1" x14ac:dyDescent="0.25">
      <c r="B1748" s="5">
        <v>45243</v>
      </c>
      <c r="C1748" s="8" t="str">
        <f>"Ord-11-23-"&amp;TEXT(ROW(C66),"000")</f>
        <v>Ord-11-23-066</v>
      </c>
      <c r="D1748" s="6" t="s">
        <v>16</v>
      </c>
      <c r="E1748" s="10" t="s">
        <v>28</v>
      </c>
      <c r="F1748" s="10" t="s">
        <v>28</v>
      </c>
      <c r="G1748" s="10" t="s">
        <v>79</v>
      </c>
      <c r="H1748" s="10">
        <v>600</v>
      </c>
      <c r="I1748" s="6">
        <v>2</v>
      </c>
      <c r="J1748" s="6">
        <f>H1748*I1748</f>
        <v>1200</v>
      </c>
    </row>
    <row r="1749" spans="2:10" ht="20.100000000000001" customHeight="1" x14ac:dyDescent="0.25">
      <c r="B1749" s="5">
        <v>45243</v>
      </c>
      <c r="C1749" s="8" t="str">
        <f>"Ord-11-23-"&amp;TEXT(ROW(C67),"000")</f>
        <v>Ord-11-23-067</v>
      </c>
      <c r="D1749" s="6" t="s">
        <v>21</v>
      </c>
      <c r="E1749" s="10" t="s">
        <v>36</v>
      </c>
      <c r="F1749" s="10" t="s">
        <v>36</v>
      </c>
      <c r="G1749" s="10" t="s">
        <v>41</v>
      </c>
      <c r="H1749" s="10">
        <v>2000</v>
      </c>
      <c r="I1749" s="6">
        <v>10</v>
      </c>
      <c r="J1749" s="6">
        <f>H1749*I1749</f>
        <v>20000</v>
      </c>
    </row>
    <row r="1750" spans="2:10" ht="20.100000000000001" customHeight="1" x14ac:dyDescent="0.25">
      <c r="B1750" s="5">
        <v>45243</v>
      </c>
      <c r="C1750" s="8" t="str">
        <f>"Ord-11-23-"&amp;TEXT(ROW(C68),"000")</f>
        <v>Ord-11-23-068</v>
      </c>
      <c r="D1750" s="6" t="s">
        <v>22</v>
      </c>
      <c r="E1750" s="10" t="s">
        <v>29</v>
      </c>
      <c r="F1750" s="10" t="s">
        <v>40</v>
      </c>
      <c r="G1750" s="10" t="s">
        <v>57</v>
      </c>
      <c r="H1750" s="10">
        <v>4000</v>
      </c>
      <c r="I1750" s="6">
        <v>5</v>
      </c>
      <c r="J1750" s="6">
        <f>H1750*I1750</f>
        <v>20000</v>
      </c>
    </row>
    <row r="1751" spans="2:10" ht="20.100000000000001" customHeight="1" x14ac:dyDescent="0.25">
      <c r="B1751" s="5">
        <v>45243</v>
      </c>
      <c r="C1751" s="8" t="str">
        <f>"Ord-11-23-"&amp;TEXT(ROW(C69),"000")</f>
        <v>Ord-11-23-069</v>
      </c>
      <c r="D1751" s="6" t="s">
        <v>8</v>
      </c>
      <c r="E1751" s="10" t="s">
        <v>27</v>
      </c>
      <c r="F1751" s="10" t="s">
        <v>42</v>
      </c>
      <c r="G1751" s="10" t="s">
        <v>42</v>
      </c>
      <c r="H1751" s="10">
        <v>2500</v>
      </c>
      <c r="I1751" s="6">
        <v>5</v>
      </c>
      <c r="J1751" s="6">
        <f>H1751*I1751</f>
        <v>12500</v>
      </c>
    </row>
    <row r="1752" spans="2:10" ht="20.100000000000001" customHeight="1" x14ac:dyDescent="0.25">
      <c r="B1752" s="5">
        <v>45243</v>
      </c>
      <c r="C1752" s="8" t="str">
        <f>"Ord-11-23-"&amp;TEXT(ROW(C70),"000")</f>
        <v>Ord-11-23-070</v>
      </c>
      <c r="D1752" s="6" t="s">
        <v>17</v>
      </c>
      <c r="E1752" s="10" t="s">
        <v>34</v>
      </c>
      <c r="F1752" s="10" t="s">
        <v>49</v>
      </c>
      <c r="G1752" s="10" t="s">
        <v>75</v>
      </c>
      <c r="H1752" s="10">
        <v>4300</v>
      </c>
      <c r="I1752" s="6">
        <v>4</v>
      </c>
      <c r="J1752" s="6">
        <f>H1752*I1752</f>
        <v>17200</v>
      </c>
    </row>
    <row r="1753" spans="2:10" ht="20.100000000000001" customHeight="1" x14ac:dyDescent="0.25">
      <c r="B1753" s="5">
        <v>45244</v>
      </c>
      <c r="C1753" s="8" t="str">
        <f>"Ord-11-23-"&amp;TEXT(ROW(C71),"000")</f>
        <v>Ord-11-23-071</v>
      </c>
      <c r="D1753" s="6" t="s">
        <v>24</v>
      </c>
      <c r="E1753" s="10" t="s">
        <v>35</v>
      </c>
      <c r="F1753" s="12" t="s">
        <v>90</v>
      </c>
      <c r="G1753" s="10" t="s">
        <v>71</v>
      </c>
      <c r="H1753" s="10">
        <v>5500</v>
      </c>
      <c r="I1753" s="6">
        <v>1</v>
      </c>
      <c r="J1753" s="6">
        <f>H1753*I1753</f>
        <v>5500</v>
      </c>
    </row>
    <row r="1754" spans="2:10" ht="20.100000000000001" customHeight="1" x14ac:dyDescent="0.25">
      <c r="B1754" s="5">
        <v>45244</v>
      </c>
      <c r="C1754" s="8" t="str">
        <f>"Ord-11-23-"&amp;TEXT(ROW(C72),"000")</f>
        <v>Ord-11-23-072</v>
      </c>
      <c r="D1754" s="6" t="s">
        <v>9</v>
      </c>
      <c r="E1754" s="10" t="s">
        <v>35</v>
      </c>
      <c r="F1754" s="12" t="s">
        <v>90</v>
      </c>
      <c r="G1754" s="10" t="s">
        <v>58</v>
      </c>
      <c r="H1754" s="10">
        <v>7500</v>
      </c>
      <c r="I1754" s="6">
        <v>1</v>
      </c>
      <c r="J1754" s="6">
        <f>H1754*I1754</f>
        <v>7500</v>
      </c>
    </row>
    <row r="1755" spans="2:10" ht="20.100000000000001" customHeight="1" x14ac:dyDescent="0.25">
      <c r="B1755" s="5">
        <v>45244</v>
      </c>
      <c r="C1755" s="8" t="str">
        <f>"Ord-11-23-"&amp;TEXT(ROW(C73),"000")</f>
        <v>Ord-11-23-073</v>
      </c>
      <c r="D1755" s="6" t="s">
        <v>17</v>
      </c>
      <c r="E1755" s="10" t="s">
        <v>33</v>
      </c>
      <c r="F1755" s="10" t="s">
        <v>47</v>
      </c>
      <c r="G1755" s="10" t="s">
        <v>65</v>
      </c>
      <c r="H1755" s="10">
        <v>25</v>
      </c>
      <c r="I1755" s="6">
        <v>250</v>
      </c>
      <c r="J1755" s="6">
        <f>H1755*I1755</f>
        <v>6250</v>
      </c>
    </row>
    <row r="1756" spans="2:10" ht="20.100000000000001" customHeight="1" x14ac:dyDescent="0.25">
      <c r="B1756" s="5">
        <v>45244</v>
      </c>
      <c r="C1756" s="8" t="str">
        <f>"Ord-11-23-"&amp;TEXT(ROW(C74),"000")</f>
        <v>Ord-11-23-074</v>
      </c>
      <c r="D1756" s="6" t="s">
        <v>26</v>
      </c>
      <c r="E1756" s="10" t="s">
        <v>29</v>
      </c>
      <c r="F1756" s="10" t="s">
        <v>39</v>
      </c>
      <c r="G1756" s="10" t="s">
        <v>56</v>
      </c>
      <c r="H1756" s="10">
        <v>2500</v>
      </c>
      <c r="I1756" s="6">
        <v>1</v>
      </c>
      <c r="J1756" s="6">
        <f>H1756*I1756</f>
        <v>2500</v>
      </c>
    </row>
    <row r="1757" spans="2:10" ht="20.100000000000001" customHeight="1" x14ac:dyDescent="0.25">
      <c r="B1757" s="5">
        <v>45244</v>
      </c>
      <c r="C1757" s="8" t="str">
        <f>"Ord-11-23-"&amp;TEXT(ROW(C75),"000")</f>
        <v>Ord-11-23-075</v>
      </c>
      <c r="D1757" s="6" t="s">
        <v>26</v>
      </c>
      <c r="E1757" s="10" t="s">
        <v>27</v>
      </c>
      <c r="F1757" s="10" t="s">
        <v>50</v>
      </c>
      <c r="G1757" s="10" t="s">
        <v>53</v>
      </c>
      <c r="H1757" s="10">
        <v>3500</v>
      </c>
      <c r="I1757" s="6">
        <v>1</v>
      </c>
      <c r="J1757" s="6">
        <f>H1757*I1757</f>
        <v>3500</v>
      </c>
    </row>
    <row r="1758" spans="2:10" ht="20.100000000000001" customHeight="1" x14ac:dyDescent="0.25">
      <c r="B1758" s="5">
        <v>45245</v>
      </c>
      <c r="C1758" s="8" t="str">
        <f>"Ord-11-23-"&amp;TEXT(ROW(C76),"000")</f>
        <v>Ord-11-23-076</v>
      </c>
      <c r="D1758" s="6" t="s">
        <v>19</v>
      </c>
      <c r="E1758" s="10" t="s">
        <v>33</v>
      </c>
      <c r="F1758" s="10" t="s">
        <v>46</v>
      </c>
      <c r="G1758" s="10" t="s">
        <v>65</v>
      </c>
      <c r="H1758" s="10">
        <v>15</v>
      </c>
      <c r="I1758" s="6">
        <v>100</v>
      </c>
      <c r="J1758" s="6">
        <f>H1758*I1758</f>
        <v>1500</v>
      </c>
    </row>
    <row r="1759" spans="2:10" ht="20.100000000000001" customHeight="1" x14ac:dyDescent="0.25">
      <c r="B1759" s="5">
        <v>45245</v>
      </c>
      <c r="C1759" s="8" t="str">
        <f>"Ord-11-23-"&amp;TEXT(ROW(C77),"000")</f>
        <v>Ord-11-23-077</v>
      </c>
      <c r="D1759" s="6" t="s">
        <v>20</v>
      </c>
      <c r="E1759" s="10" t="s">
        <v>31</v>
      </c>
      <c r="F1759" s="10" t="s">
        <v>48</v>
      </c>
      <c r="G1759" s="10" t="s">
        <v>76</v>
      </c>
      <c r="H1759" s="10">
        <v>3500</v>
      </c>
      <c r="I1759" s="6">
        <v>1</v>
      </c>
      <c r="J1759" s="6">
        <f>H1759*I1759</f>
        <v>3500</v>
      </c>
    </row>
    <row r="1760" spans="2:10" ht="20.100000000000001" customHeight="1" x14ac:dyDescent="0.25">
      <c r="B1760" s="5">
        <v>45245</v>
      </c>
      <c r="C1760" s="8" t="str">
        <f>"Ord-11-23-"&amp;TEXT(ROW(C78),"000")</f>
        <v>Ord-11-23-078</v>
      </c>
      <c r="D1760" s="6" t="s">
        <v>12</v>
      </c>
      <c r="E1760" s="10" t="s">
        <v>29</v>
      </c>
      <c r="F1760" s="10" t="s">
        <v>40</v>
      </c>
      <c r="G1760" s="10" t="s">
        <v>57</v>
      </c>
      <c r="H1760" s="10">
        <v>4000</v>
      </c>
      <c r="I1760" s="6">
        <v>3</v>
      </c>
      <c r="J1760" s="6">
        <f>H1760*I1760</f>
        <v>12000</v>
      </c>
    </row>
    <row r="1761" spans="2:10" ht="20.100000000000001" customHeight="1" x14ac:dyDescent="0.25">
      <c r="B1761" s="5">
        <v>45245</v>
      </c>
      <c r="C1761" s="8" t="str">
        <f>"Ord-11-23-"&amp;TEXT(ROW(C79),"000")</f>
        <v>Ord-11-23-079</v>
      </c>
      <c r="D1761" s="6" t="s">
        <v>20</v>
      </c>
      <c r="E1761" s="10" t="s">
        <v>27</v>
      </c>
      <c r="F1761" s="10" t="s">
        <v>50</v>
      </c>
      <c r="G1761" s="10" t="s">
        <v>53</v>
      </c>
      <c r="H1761" s="10">
        <v>3500</v>
      </c>
      <c r="I1761" s="6">
        <v>5</v>
      </c>
      <c r="J1761" s="6">
        <f>H1761*I1761</f>
        <v>17500</v>
      </c>
    </row>
    <row r="1762" spans="2:10" ht="20.100000000000001" customHeight="1" x14ac:dyDescent="0.25">
      <c r="B1762" s="5">
        <v>45245</v>
      </c>
      <c r="C1762" s="8" t="str">
        <f>"Ord-11-23-"&amp;TEXT(ROW(C80),"000")</f>
        <v>Ord-11-23-080</v>
      </c>
      <c r="D1762" s="6" t="s">
        <v>19</v>
      </c>
      <c r="E1762" s="10" t="s">
        <v>27</v>
      </c>
      <c r="F1762" s="10" t="s">
        <v>37</v>
      </c>
      <c r="G1762" s="10" t="s">
        <v>64</v>
      </c>
      <c r="H1762" s="10">
        <v>4500</v>
      </c>
      <c r="I1762" s="6">
        <v>4</v>
      </c>
      <c r="J1762" s="6">
        <f>H1762*I1762</f>
        <v>18000</v>
      </c>
    </row>
    <row r="1763" spans="2:10" ht="20.100000000000001" customHeight="1" x14ac:dyDescent="0.25">
      <c r="B1763" s="5">
        <v>45246</v>
      </c>
      <c r="C1763" s="8" t="str">
        <f>"Ord-11-23-"&amp;TEXT(ROW(C81),"000")</f>
        <v>Ord-11-23-081</v>
      </c>
      <c r="D1763" s="6" t="s">
        <v>8</v>
      </c>
      <c r="E1763" s="10" t="s">
        <v>32</v>
      </c>
      <c r="F1763" s="10" t="s">
        <v>51</v>
      </c>
      <c r="G1763" s="10" t="s">
        <v>81</v>
      </c>
      <c r="H1763" s="10">
        <v>3000</v>
      </c>
      <c r="I1763" s="6">
        <v>4</v>
      </c>
      <c r="J1763" s="6">
        <f>H1763*I1763</f>
        <v>12000</v>
      </c>
    </row>
    <row r="1764" spans="2:10" ht="20.100000000000001" customHeight="1" x14ac:dyDescent="0.25">
      <c r="B1764" s="5">
        <v>45246</v>
      </c>
      <c r="C1764" s="8" t="str">
        <f>"Ord-11-23-"&amp;TEXT(ROW(C82),"000")</f>
        <v>Ord-11-23-082</v>
      </c>
      <c r="D1764" s="6" t="s">
        <v>24</v>
      </c>
      <c r="E1764" s="10" t="s">
        <v>33</v>
      </c>
      <c r="F1764" s="10" t="s">
        <v>47</v>
      </c>
      <c r="G1764" s="10" t="s">
        <v>65</v>
      </c>
      <c r="H1764" s="10">
        <v>25</v>
      </c>
      <c r="I1764" s="7">
        <v>400</v>
      </c>
      <c r="J1764" s="6">
        <f>H1764*I1764</f>
        <v>10000</v>
      </c>
    </row>
    <row r="1765" spans="2:10" ht="20.100000000000001" customHeight="1" x14ac:dyDescent="0.25">
      <c r="B1765" s="5">
        <v>45246</v>
      </c>
      <c r="C1765" s="8" t="str">
        <f>"Ord-11-23-"&amp;TEXT(ROW(C83),"000")</f>
        <v>Ord-11-23-083</v>
      </c>
      <c r="D1765" s="6" t="s">
        <v>14</v>
      </c>
      <c r="E1765" s="10" t="s">
        <v>33</v>
      </c>
      <c r="F1765" s="10" t="s">
        <v>47</v>
      </c>
      <c r="G1765" s="10" t="s">
        <v>65</v>
      </c>
      <c r="H1765" s="10">
        <v>25</v>
      </c>
      <c r="I1765" s="7">
        <v>300</v>
      </c>
      <c r="J1765" s="6">
        <f>H1765*I1765</f>
        <v>7500</v>
      </c>
    </row>
    <row r="1766" spans="2:10" ht="20.100000000000001" customHeight="1" x14ac:dyDescent="0.25">
      <c r="B1766" s="5">
        <v>45246</v>
      </c>
      <c r="C1766" s="8" t="str">
        <f>"Ord-11-23-"&amp;TEXT(ROW(C84),"000")</f>
        <v>Ord-11-23-084</v>
      </c>
      <c r="D1766" s="6" t="s">
        <v>26</v>
      </c>
      <c r="E1766" s="10" t="s">
        <v>33</v>
      </c>
      <c r="F1766" s="10" t="s">
        <v>46</v>
      </c>
      <c r="G1766" s="10" t="s">
        <v>65</v>
      </c>
      <c r="H1766" s="10">
        <v>15</v>
      </c>
      <c r="I1766" s="6">
        <v>350</v>
      </c>
      <c r="J1766" s="6">
        <f>H1766*I1766</f>
        <v>5250</v>
      </c>
    </row>
    <row r="1767" spans="2:10" ht="20.100000000000001" customHeight="1" x14ac:dyDescent="0.25">
      <c r="B1767" s="5">
        <v>45246</v>
      </c>
      <c r="C1767" s="8" t="str">
        <f>"Ord-11-23-"&amp;TEXT(ROW(C85),"000")</f>
        <v>Ord-11-23-085</v>
      </c>
      <c r="D1767" s="6" t="s">
        <v>10</v>
      </c>
      <c r="E1767" s="10" t="s">
        <v>27</v>
      </c>
      <c r="F1767" s="10" t="s">
        <v>38</v>
      </c>
      <c r="G1767" s="10" t="s">
        <v>54</v>
      </c>
      <c r="H1767" s="10">
        <v>5200</v>
      </c>
      <c r="I1767" s="6">
        <v>1</v>
      </c>
      <c r="J1767" s="6">
        <f>H1767*I1767</f>
        <v>5200</v>
      </c>
    </row>
    <row r="1768" spans="2:10" ht="20.100000000000001" customHeight="1" x14ac:dyDescent="0.25">
      <c r="B1768" s="5">
        <v>45247</v>
      </c>
      <c r="C1768" s="8" t="str">
        <f>"Ord-11-23-"&amp;TEXT(ROW(C86),"000")</f>
        <v>Ord-11-23-086</v>
      </c>
      <c r="D1768" s="6" t="s">
        <v>14</v>
      </c>
      <c r="E1768" s="10" t="s">
        <v>28</v>
      </c>
      <c r="F1768" s="10" t="s">
        <v>28</v>
      </c>
      <c r="G1768" s="10" t="s">
        <v>79</v>
      </c>
      <c r="H1768" s="10">
        <v>600</v>
      </c>
      <c r="I1768" s="6">
        <v>2</v>
      </c>
      <c r="J1768" s="6">
        <f>H1768*I1768</f>
        <v>1200</v>
      </c>
    </row>
    <row r="1769" spans="2:10" ht="20.100000000000001" customHeight="1" x14ac:dyDescent="0.25">
      <c r="B1769" s="5">
        <v>45247</v>
      </c>
      <c r="C1769" s="8" t="str">
        <f>"Ord-11-23-"&amp;TEXT(ROW(C87),"000")</f>
        <v>Ord-11-23-087</v>
      </c>
      <c r="D1769" s="6" t="s">
        <v>9</v>
      </c>
      <c r="E1769" s="10" t="s">
        <v>33</v>
      </c>
      <c r="F1769" s="10" t="s">
        <v>46</v>
      </c>
      <c r="G1769" s="10" t="s">
        <v>65</v>
      </c>
      <c r="H1769" s="10">
        <v>15</v>
      </c>
      <c r="I1769" s="6">
        <v>500</v>
      </c>
      <c r="J1769" s="6">
        <f>H1769*I1769</f>
        <v>7500</v>
      </c>
    </row>
    <row r="1770" spans="2:10" ht="20.100000000000001" customHeight="1" x14ac:dyDescent="0.25">
      <c r="B1770" s="5">
        <v>45247</v>
      </c>
      <c r="C1770" s="8" t="str">
        <f>"Ord-11-23-"&amp;TEXT(ROW(C88),"000")</f>
        <v>Ord-11-23-088</v>
      </c>
      <c r="D1770" s="6" t="s">
        <v>15</v>
      </c>
      <c r="E1770" s="10" t="s">
        <v>29</v>
      </c>
      <c r="F1770" s="10" t="s">
        <v>40</v>
      </c>
      <c r="G1770" s="10" t="s">
        <v>57</v>
      </c>
      <c r="H1770" s="10">
        <v>4000</v>
      </c>
      <c r="I1770" s="6">
        <v>2</v>
      </c>
      <c r="J1770" s="6">
        <f>H1770*I1770</f>
        <v>8000</v>
      </c>
    </row>
    <row r="1771" spans="2:10" ht="20.100000000000001" customHeight="1" x14ac:dyDescent="0.25">
      <c r="B1771" s="5">
        <v>45247</v>
      </c>
      <c r="C1771" s="8" t="str">
        <f>"Ord-11-23-"&amp;TEXT(ROW(C89),"000")</f>
        <v>Ord-11-23-089</v>
      </c>
      <c r="D1771" s="6" t="s">
        <v>24</v>
      </c>
      <c r="E1771" s="10" t="s">
        <v>29</v>
      </c>
      <c r="F1771" s="10" t="s">
        <v>40</v>
      </c>
      <c r="G1771" s="10" t="s">
        <v>57</v>
      </c>
      <c r="H1771" s="10">
        <v>4000</v>
      </c>
      <c r="I1771" s="6">
        <v>2</v>
      </c>
      <c r="J1771" s="6">
        <f>H1771*I1771</f>
        <v>8000</v>
      </c>
    </row>
    <row r="1772" spans="2:10" ht="20.100000000000001" customHeight="1" x14ac:dyDescent="0.25">
      <c r="B1772" s="5">
        <v>45247</v>
      </c>
      <c r="C1772" s="8" t="str">
        <f>"Ord-11-23-"&amp;TEXT(ROW(C90),"000")</f>
        <v>Ord-11-23-090</v>
      </c>
      <c r="D1772" s="6" t="s">
        <v>19</v>
      </c>
      <c r="E1772" s="10" t="s">
        <v>27</v>
      </c>
      <c r="F1772" s="10" t="s">
        <v>38</v>
      </c>
      <c r="G1772" s="10" t="s">
        <v>54</v>
      </c>
      <c r="H1772" s="10">
        <v>5200</v>
      </c>
      <c r="I1772" s="6">
        <v>2</v>
      </c>
      <c r="J1772" s="6">
        <f>H1772*I1772</f>
        <v>10400</v>
      </c>
    </row>
    <row r="1773" spans="2:10" ht="20.100000000000001" customHeight="1" x14ac:dyDescent="0.25">
      <c r="B1773" s="5">
        <v>45248</v>
      </c>
      <c r="C1773" s="8" t="str">
        <f>"Ord-11-23-"&amp;TEXT(ROW(C91),"000")</f>
        <v>Ord-11-23-091</v>
      </c>
      <c r="D1773" s="6" t="s">
        <v>8</v>
      </c>
      <c r="E1773" s="10" t="s">
        <v>33</v>
      </c>
      <c r="F1773" s="10" t="s">
        <v>46</v>
      </c>
      <c r="G1773" s="10" t="s">
        <v>65</v>
      </c>
      <c r="H1773" s="10">
        <v>15</v>
      </c>
      <c r="I1773" s="6">
        <v>100</v>
      </c>
      <c r="J1773" s="6">
        <f>H1773*I1773</f>
        <v>1500</v>
      </c>
    </row>
    <row r="1774" spans="2:10" ht="20.100000000000001" customHeight="1" x14ac:dyDescent="0.25">
      <c r="B1774" s="5">
        <v>45248</v>
      </c>
      <c r="C1774" s="8" t="str">
        <f>"Ord-11-23-"&amp;TEXT(ROW(C92),"000")</f>
        <v>Ord-11-23-092</v>
      </c>
      <c r="D1774" s="6" t="s">
        <v>10</v>
      </c>
      <c r="E1774" s="10" t="s">
        <v>31</v>
      </c>
      <c r="F1774" s="10" t="s">
        <v>52</v>
      </c>
      <c r="G1774" s="10" t="s">
        <v>69</v>
      </c>
      <c r="H1774" s="10">
        <v>3500</v>
      </c>
      <c r="I1774" s="6">
        <v>2</v>
      </c>
      <c r="J1774" s="6">
        <f>H1774*I1774</f>
        <v>7000</v>
      </c>
    </row>
    <row r="1775" spans="2:10" ht="20.100000000000001" customHeight="1" x14ac:dyDescent="0.25">
      <c r="B1775" s="5">
        <v>45248</v>
      </c>
      <c r="C1775" s="8" t="str">
        <f>"Ord-11-23-"&amp;TEXT(ROW(C93),"000")</f>
        <v>Ord-11-23-093</v>
      </c>
      <c r="D1775" s="6" t="s">
        <v>19</v>
      </c>
      <c r="E1775" s="10" t="s">
        <v>31</v>
      </c>
      <c r="F1775" s="10" t="s">
        <v>48</v>
      </c>
      <c r="G1775" s="10" t="s">
        <v>76</v>
      </c>
      <c r="H1775" s="10">
        <v>3500</v>
      </c>
      <c r="I1775" s="6">
        <v>3</v>
      </c>
      <c r="J1775" s="6">
        <f>H1775*I1775</f>
        <v>10500</v>
      </c>
    </row>
    <row r="1776" spans="2:10" ht="20.100000000000001" customHeight="1" x14ac:dyDescent="0.25">
      <c r="B1776" s="5">
        <v>45248</v>
      </c>
      <c r="C1776" s="8" t="str">
        <f>"Ord-11-23-"&amp;TEXT(ROW(C94),"000")</f>
        <v>Ord-11-23-094</v>
      </c>
      <c r="D1776" s="6" t="s">
        <v>10</v>
      </c>
      <c r="E1776" s="10" t="s">
        <v>29</v>
      </c>
      <c r="F1776" s="10" t="s">
        <v>40</v>
      </c>
      <c r="G1776" s="10" t="s">
        <v>84</v>
      </c>
      <c r="H1776" s="10">
        <v>7500</v>
      </c>
      <c r="I1776" s="6">
        <v>2</v>
      </c>
      <c r="J1776" s="6">
        <f>H1776*I1776</f>
        <v>15000</v>
      </c>
    </row>
    <row r="1777" spans="2:10" ht="20.100000000000001" customHeight="1" x14ac:dyDescent="0.25">
      <c r="B1777" s="5">
        <v>45248</v>
      </c>
      <c r="C1777" s="8" t="str">
        <f>"Ord-11-23-"&amp;TEXT(ROW(C95),"000")</f>
        <v>Ord-11-23-095</v>
      </c>
      <c r="D1777" s="6" t="s">
        <v>12</v>
      </c>
      <c r="E1777" s="10" t="s">
        <v>27</v>
      </c>
      <c r="F1777" s="10" t="s">
        <v>50</v>
      </c>
      <c r="G1777" s="10" t="s">
        <v>54</v>
      </c>
      <c r="H1777" s="10">
        <v>3200</v>
      </c>
      <c r="I1777" s="6">
        <v>5</v>
      </c>
      <c r="J1777" s="6">
        <f>H1777*I1777</f>
        <v>16000</v>
      </c>
    </row>
    <row r="1778" spans="2:10" ht="20.100000000000001" customHeight="1" x14ac:dyDescent="0.25">
      <c r="B1778" s="5">
        <v>45249</v>
      </c>
      <c r="C1778" s="8" t="str">
        <f>"Ord-11-23-"&amp;TEXT(ROW(C96),"000")</f>
        <v>Ord-11-23-096</v>
      </c>
      <c r="D1778" s="6" t="s">
        <v>9</v>
      </c>
      <c r="E1778" s="10" t="s">
        <v>28</v>
      </c>
      <c r="F1778" s="10" t="s">
        <v>28</v>
      </c>
      <c r="G1778" s="10" t="s">
        <v>58</v>
      </c>
      <c r="H1778" s="10">
        <v>1000</v>
      </c>
      <c r="I1778" s="6">
        <v>1</v>
      </c>
      <c r="J1778" s="6">
        <f>H1778*I1778</f>
        <v>1000</v>
      </c>
    </row>
    <row r="1779" spans="2:10" ht="20.100000000000001" customHeight="1" x14ac:dyDescent="0.25">
      <c r="B1779" s="5">
        <v>45249</v>
      </c>
      <c r="C1779" s="8" t="str">
        <f>"Ord-11-23-"&amp;TEXT(ROW(C97),"000")</f>
        <v>Ord-11-23-097</v>
      </c>
      <c r="D1779" s="6" t="s">
        <v>18</v>
      </c>
      <c r="E1779" s="10" t="s">
        <v>33</v>
      </c>
      <c r="F1779" s="10" t="s">
        <v>47</v>
      </c>
      <c r="G1779" s="10" t="s">
        <v>65</v>
      </c>
      <c r="H1779" s="10">
        <v>25</v>
      </c>
      <c r="I1779" s="7">
        <v>240</v>
      </c>
      <c r="J1779" s="6">
        <f>H1779*I1779</f>
        <v>6000</v>
      </c>
    </row>
    <row r="1780" spans="2:10" ht="20.100000000000001" customHeight="1" x14ac:dyDescent="0.25">
      <c r="B1780" s="5">
        <v>45249</v>
      </c>
      <c r="C1780" s="8" t="str">
        <f>"Ord-11-23-"&amp;TEXT(ROW(C98),"000")</f>
        <v>Ord-11-23-098</v>
      </c>
      <c r="D1780" s="6" t="s">
        <v>9</v>
      </c>
      <c r="E1780" s="10" t="s">
        <v>31</v>
      </c>
      <c r="F1780" s="10" t="s">
        <v>45</v>
      </c>
      <c r="G1780" s="10" t="s">
        <v>63</v>
      </c>
      <c r="H1780" s="10">
        <v>1800</v>
      </c>
      <c r="I1780" s="6">
        <v>5</v>
      </c>
      <c r="J1780" s="6">
        <f>H1780*I1780</f>
        <v>9000</v>
      </c>
    </row>
    <row r="1781" spans="2:10" ht="20.100000000000001" customHeight="1" x14ac:dyDescent="0.25">
      <c r="B1781" s="5">
        <v>45249</v>
      </c>
      <c r="C1781" s="8" t="str">
        <f>"Ord-11-23-"&amp;TEXT(ROW(C99),"000")</f>
        <v>Ord-11-23-099</v>
      </c>
      <c r="D1781" s="6" t="s">
        <v>19</v>
      </c>
      <c r="E1781" s="10" t="s">
        <v>36</v>
      </c>
      <c r="F1781" s="10" t="s">
        <v>36</v>
      </c>
      <c r="G1781" s="10" t="s">
        <v>78</v>
      </c>
      <c r="H1781" s="10">
        <v>2500</v>
      </c>
      <c r="I1781" s="6">
        <v>3</v>
      </c>
      <c r="J1781" s="6">
        <f>H1781*I1781</f>
        <v>7500</v>
      </c>
    </row>
    <row r="1782" spans="2:10" ht="20.100000000000001" customHeight="1" x14ac:dyDescent="0.25">
      <c r="B1782" s="5">
        <v>45249</v>
      </c>
      <c r="C1782" s="8" t="str">
        <f>"Ord-11-23-"&amp;TEXT(ROW(C100),"000")</f>
        <v>Ord-11-23-100</v>
      </c>
      <c r="D1782" s="6" t="s">
        <v>21</v>
      </c>
      <c r="E1782" s="10" t="s">
        <v>27</v>
      </c>
      <c r="F1782" s="10" t="s">
        <v>41</v>
      </c>
      <c r="G1782" s="10" t="s">
        <v>53</v>
      </c>
      <c r="H1782" s="10">
        <v>3000</v>
      </c>
      <c r="I1782" s="6">
        <v>2</v>
      </c>
      <c r="J1782" s="6">
        <f>H1782*I1782</f>
        <v>6000</v>
      </c>
    </row>
    <row r="1783" spans="2:10" ht="20.100000000000001" customHeight="1" x14ac:dyDescent="0.25">
      <c r="B1783" s="5">
        <v>45250</v>
      </c>
      <c r="C1783" s="8" t="str">
        <f>"Ord-11-23-"&amp;TEXT(ROW(C101),"000")</f>
        <v>Ord-11-23-101</v>
      </c>
      <c r="D1783" s="6" t="s">
        <v>24</v>
      </c>
      <c r="E1783" s="10" t="s">
        <v>35</v>
      </c>
      <c r="F1783" s="12" t="s">
        <v>90</v>
      </c>
      <c r="G1783" s="10" t="s">
        <v>71</v>
      </c>
      <c r="H1783" s="10">
        <v>5500</v>
      </c>
      <c r="I1783" s="6">
        <v>3</v>
      </c>
      <c r="J1783" s="6">
        <f>H1783*I1783</f>
        <v>16500</v>
      </c>
    </row>
    <row r="1784" spans="2:10" ht="20.100000000000001" customHeight="1" x14ac:dyDescent="0.25">
      <c r="B1784" s="5">
        <v>45250</v>
      </c>
      <c r="C1784" s="8" t="str">
        <f>"Ord-11-23-"&amp;TEXT(ROW(C102),"000")</f>
        <v>Ord-11-23-102</v>
      </c>
      <c r="D1784" s="6" t="s">
        <v>9</v>
      </c>
      <c r="E1784" s="10" t="s">
        <v>28</v>
      </c>
      <c r="F1784" s="10" t="s">
        <v>28</v>
      </c>
      <c r="G1784" s="10" t="s">
        <v>58</v>
      </c>
      <c r="H1784" s="10">
        <v>1000</v>
      </c>
      <c r="I1784" s="6">
        <v>3</v>
      </c>
      <c r="J1784" s="6">
        <f>H1784*I1784</f>
        <v>3000</v>
      </c>
    </row>
    <row r="1785" spans="2:10" ht="20.100000000000001" customHeight="1" x14ac:dyDescent="0.25">
      <c r="B1785" s="5">
        <v>45250</v>
      </c>
      <c r="C1785" s="8" t="str">
        <f>"Ord-11-23-"&amp;TEXT(ROW(C103),"000")</f>
        <v>Ord-11-23-103</v>
      </c>
      <c r="D1785" s="6" t="s">
        <v>19</v>
      </c>
      <c r="E1785" s="10" t="s">
        <v>32</v>
      </c>
      <c r="F1785" s="10" t="s">
        <v>44</v>
      </c>
      <c r="G1785" s="10" t="s">
        <v>87</v>
      </c>
      <c r="H1785" s="10">
        <v>1500</v>
      </c>
      <c r="I1785" s="6">
        <v>2</v>
      </c>
      <c r="J1785" s="6">
        <f>H1785*I1785</f>
        <v>3000</v>
      </c>
    </row>
    <row r="1786" spans="2:10" ht="20.100000000000001" customHeight="1" x14ac:dyDescent="0.25">
      <c r="B1786" s="5">
        <v>45250</v>
      </c>
      <c r="C1786" s="8" t="str">
        <f>"Ord-11-23-"&amp;TEXT(ROW(C104),"000")</f>
        <v>Ord-11-23-104</v>
      </c>
      <c r="D1786" s="6" t="s">
        <v>20</v>
      </c>
      <c r="E1786" s="10" t="s">
        <v>33</v>
      </c>
      <c r="F1786" s="10" t="s">
        <v>46</v>
      </c>
      <c r="G1786" s="10" t="s">
        <v>65</v>
      </c>
      <c r="H1786" s="10">
        <v>15</v>
      </c>
      <c r="I1786" s="6">
        <v>250</v>
      </c>
      <c r="J1786" s="6">
        <f>H1786*I1786</f>
        <v>3750</v>
      </c>
    </row>
    <row r="1787" spans="2:10" ht="20.100000000000001" customHeight="1" x14ac:dyDescent="0.25">
      <c r="B1787" s="5">
        <v>45250</v>
      </c>
      <c r="C1787" s="8" t="str">
        <f>"Ord-11-23-"&amp;TEXT(ROW(C105),"000")</f>
        <v>Ord-11-23-105</v>
      </c>
      <c r="D1787" s="6" t="s">
        <v>24</v>
      </c>
      <c r="E1787" s="10" t="s">
        <v>29</v>
      </c>
      <c r="F1787" s="10" t="s">
        <v>39</v>
      </c>
      <c r="G1787" s="10" t="s">
        <v>60</v>
      </c>
      <c r="H1787" s="10">
        <v>1500</v>
      </c>
      <c r="I1787" s="6">
        <v>2</v>
      </c>
      <c r="J1787" s="6">
        <f>H1787*I1787</f>
        <v>3000</v>
      </c>
    </row>
    <row r="1788" spans="2:10" ht="20.100000000000001" customHeight="1" x14ac:dyDescent="0.25">
      <c r="B1788" s="5">
        <v>45251</v>
      </c>
      <c r="C1788" s="8" t="str">
        <f>"Ord-11-23-"&amp;TEXT(ROW(C106),"000")</f>
        <v>Ord-11-23-106</v>
      </c>
      <c r="D1788" s="6" t="s">
        <v>25</v>
      </c>
      <c r="E1788" s="10" t="s">
        <v>33</v>
      </c>
      <c r="F1788" s="10" t="s">
        <v>47</v>
      </c>
      <c r="G1788" s="10" t="s">
        <v>65</v>
      </c>
      <c r="H1788" s="10">
        <v>25</v>
      </c>
      <c r="I1788" s="6">
        <v>400</v>
      </c>
      <c r="J1788" s="6">
        <f>H1788*I1788</f>
        <v>10000</v>
      </c>
    </row>
    <row r="1789" spans="2:10" ht="20.100000000000001" customHeight="1" x14ac:dyDescent="0.25">
      <c r="B1789" s="5">
        <v>45251</v>
      </c>
      <c r="C1789" s="8" t="str">
        <f>"Ord-11-23-"&amp;TEXT(ROW(C107),"000")</f>
        <v>Ord-11-23-107</v>
      </c>
      <c r="D1789" s="6" t="s">
        <v>19</v>
      </c>
      <c r="E1789" s="10" t="s">
        <v>31</v>
      </c>
      <c r="F1789" s="10" t="s">
        <v>52</v>
      </c>
      <c r="G1789" s="10" t="s">
        <v>59</v>
      </c>
      <c r="H1789" s="10">
        <v>3500</v>
      </c>
      <c r="I1789" s="6">
        <v>2</v>
      </c>
      <c r="J1789" s="6">
        <f>H1789*I1789</f>
        <v>7000</v>
      </c>
    </row>
    <row r="1790" spans="2:10" ht="20.100000000000001" customHeight="1" x14ac:dyDescent="0.25">
      <c r="B1790" s="5">
        <v>45251</v>
      </c>
      <c r="C1790" s="8" t="str">
        <f>"Ord-11-23-"&amp;TEXT(ROW(C108),"000")</f>
        <v>Ord-11-23-108</v>
      </c>
      <c r="D1790" s="6" t="s">
        <v>25</v>
      </c>
      <c r="E1790" s="10" t="s">
        <v>31</v>
      </c>
      <c r="F1790" s="10" t="s">
        <v>48</v>
      </c>
      <c r="G1790" s="10" t="s">
        <v>69</v>
      </c>
      <c r="H1790" s="10">
        <v>3500</v>
      </c>
      <c r="I1790" s="6">
        <v>2</v>
      </c>
      <c r="J1790" s="6">
        <f>H1790*I1790</f>
        <v>7000</v>
      </c>
    </row>
    <row r="1791" spans="2:10" ht="20.100000000000001" customHeight="1" x14ac:dyDescent="0.25">
      <c r="B1791" s="5">
        <v>45251</v>
      </c>
      <c r="C1791" s="8" t="str">
        <f>"Ord-11-23-"&amp;TEXT(ROW(C109),"000")</f>
        <v>Ord-11-23-109</v>
      </c>
      <c r="D1791" s="6" t="s">
        <v>25</v>
      </c>
      <c r="E1791" s="10" t="s">
        <v>27</v>
      </c>
      <c r="F1791" s="10" t="s">
        <v>42</v>
      </c>
      <c r="G1791" s="10" t="s">
        <v>42</v>
      </c>
      <c r="H1791" s="10">
        <v>2500</v>
      </c>
      <c r="I1791" s="6">
        <v>5</v>
      </c>
      <c r="J1791" s="6">
        <f>H1791*I1791</f>
        <v>12500</v>
      </c>
    </row>
    <row r="1792" spans="2:10" ht="20.100000000000001" customHeight="1" x14ac:dyDescent="0.25">
      <c r="B1792" s="5">
        <v>45251</v>
      </c>
      <c r="C1792" s="8" t="str">
        <f>"Ord-11-23-"&amp;TEXT(ROW(C110),"000")</f>
        <v>Ord-11-23-110</v>
      </c>
      <c r="D1792" s="6" t="s">
        <v>11</v>
      </c>
      <c r="E1792" s="10" t="s">
        <v>27</v>
      </c>
      <c r="F1792" s="10" t="s">
        <v>37</v>
      </c>
      <c r="G1792" s="10" t="s">
        <v>53</v>
      </c>
      <c r="H1792" s="10">
        <v>5200</v>
      </c>
      <c r="I1792" s="6">
        <v>2</v>
      </c>
      <c r="J1792" s="6">
        <f>H1792*I1792</f>
        <v>10400</v>
      </c>
    </row>
    <row r="1793" spans="2:10" ht="20.100000000000001" customHeight="1" x14ac:dyDescent="0.25">
      <c r="B1793" s="5">
        <v>45252</v>
      </c>
      <c r="C1793" s="8" t="str">
        <f>"Ord-11-23-"&amp;TEXT(ROW(C111),"000")</f>
        <v>Ord-11-23-111</v>
      </c>
      <c r="D1793" s="6" t="s">
        <v>19</v>
      </c>
      <c r="E1793" s="10" t="s">
        <v>33</v>
      </c>
      <c r="F1793" s="10" t="s">
        <v>47</v>
      </c>
      <c r="G1793" s="10" t="s">
        <v>65</v>
      </c>
      <c r="H1793" s="12">
        <v>25</v>
      </c>
      <c r="I1793" s="6">
        <v>250</v>
      </c>
      <c r="J1793" s="6">
        <f>H1793*I1793</f>
        <v>6250</v>
      </c>
    </row>
    <row r="1794" spans="2:10" ht="20.100000000000001" customHeight="1" x14ac:dyDescent="0.25">
      <c r="B1794" s="5">
        <v>45252</v>
      </c>
      <c r="C1794" s="8" t="str">
        <f>"Ord-11-23-"&amp;TEXT(ROW(C112),"000")</f>
        <v>Ord-11-23-112</v>
      </c>
      <c r="D1794" s="6" t="s">
        <v>20</v>
      </c>
      <c r="E1794" s="10" t="s">
        <v>36</v>
      </c>
      <c r="F1794" s="10" t="s">
        <v>36</v>
      </c>
      <c r="G1794" s="10" t="s">
        <v>85</v>
      </c>
      <c r="H1794" s="10">
        <v>2200</v>
      </c>
      <c r="I1794" s="6">
        <v>1</v>
      </c>
      <c r="J1794" s="6">
        <f>H1794*I1794</f>
        <v>2200</v>
      </c>
    </row>
    <row r="1795" spans="2:10" ht="20.100000000000001" customHeight="1" x14ac:dyDescent="0.25">
      <c r="B1795" s="5">
        <v>45252</v>
      </c>
      <c r="C1795" s="8" t="str">
        <f>"Ord-11-23-"&amp;TEXT(ROW(C113),"000")</f>
        <v>Ord-11-23-113</v>
      </c>
      <c r="D1795" s="6" t="s">
        <v>11</v>
      </c>
      <c r="E1795" s="10" t="s">
        <v>27</v>
      </c>
      <c r="F1795" s="10" t="s">
        <v>42</v>
      </c>
      <c r="G1795" s="10" t="s">
        <v>42</v>
      </c>
      <c r="H1795" s="10">
        <v>2500</v>
      </c>
      <c r="I1795" s="6">
        <v>4</v>
      </c>
      <c r="J1795" s="6">
        <f>H1795*I1795</f>
        <v>10000</v>
      </c>
    </row>
    <row r="1796" spans="2:10" ht="20.100000000000001" customHeight="1" x14ac:dyDescent="0.25">
      <c r="B1796" s="5">
        <v>45252</v>
      </c>
      <c r="C1796" s="8" t="str">
        <f>"Ord-11-23-"&amp;TEXT(ROW(C114),"000")</f>
        <v>Ord-11-23-114</v>
      </c>
      <c r="D1796" s="6" t="s">
        <v>24</v>
      </c>
      <c r="E1796" s="10" t="s">
        <v>27</v>
      </c>
      <c r="F1796" s="10" t="s">
        <v>50</v>
      </c>
      <c r="G1796" s="10" t="s">
        <v>53</v>
      </c>
      <c r="H1796" s="10">
        <v>3500</v>
      </c>
      <c r="I1796" s="7">
        <v>1</v>
      </c>
      <c r="J1796" s="6">
        <f>H1796*I1796</f>
        <v>3500</v>
      </c>
    </row>
    <row r="1797" spans="2:10" ht="20.100000000000001" customHeight="1" x14ac:dyDescent="0.25">
      <c r="B1797" s="5">
        <v>45252</v>
      </c>
      <c r="C1797" s="8" t="str">
        <f>"Ord-11-23-"&amp;TEXT(ROW(C115),"000")</f>
        <v>Ord-11-23-115</v>
      </c>
      <c r="D1797" s="6" t="s">
        <v>24</v>
      </c>
      <c r="E1797" s="10" t="s">
        <v>34</v>
      </c>
      <c r="F1797" s="10" t="s">
        <v>49</v>
      </c>
      <c r="G1797" s="10" t="s">
        <v>75</v>
      </c>
      <c r="H1797" s="10">
        <v>4300</v>
      </c>
      <c r="I1797" s="6">
        <v>3</v>
      </c>
      <c r="J1797" s="6">
        <f>H1797*I1797</f>
        <v>12900</v>
      </c>
    </row>
    <row r="1798" spans="2:10" ht="20.100000000000001" customHeight="1" x14ac:dyDescent="0.25">
      <c r="B1798" s="5">
        <v>45253</v>
      </c>
      <c r="C1798" s="8" t="str">
        <f>"Ord-11-23-"&amp;TEXT(ROW(C116),"000")</f>
        <v>Ord-11-23-116</v>
      </c>
      <c r="D1798" s="6" t="s">
        <v>8</v>
      </c>
      <c r="E1798" s="10" t="s">
        <v>28</v>
      </c>
      <c r="F1798" s="10" t="s">
        <v>28</v>
      </c>
      <c r="G1798" s="10" t="s">
        <v>79</v>
      </c>
      <c r="H1798" s="10">
        <v>600</v>
      </c>
      <c r="I1798" s="6">
        <v>5</v>
      </c>
      <c r="J1798" s="6">
        <f>H1798*I1798</f>
        <v>3000</v>
      </c>
    </row>
    <row r="1799" spans="2:10" ht="20.100000000000001" customHeight="1" x14ac:dyDescent="0.25">
      <c r="B1799" s="5">
        <v>45253</v>
      </c>
      <c r="C1799" s="8" t="str">
        <f>"Ord-11-23-"&amp;TEXT(ROW(C117),"000")</f>
        <v>Ord-11-23-117</v>
      </c>
      <c r="D1799" s="6" t="s">
        <v>21</v>
      </c>
      <c r="E1799" s="10" t="s">
        <v>32</v>
      </c>
      <c r="F1799" s="10" t="s">
        <v>44</v>
      </c>
      <c r="G1799" s="10" t="s">
        <v>72</v>
      </c>
      <c r="H1799" s="10">
        <v>2200</v>
      </c>
      <c r="I1799" s="6">
        <v>2</v>
      </c>
      <c r="J1799" s="6">
        <f>H1799*I1799</f>
        <v>4400</v>
      </c>
    </row>
    <row r="1800" spans="2:10" ht="20.100000000000001" customHeight="1" x14ac:dyDescent="0.25">
      <c r="B1800" s="5">
        <v>45253</v>
      </c>
      <c r="C1800" s="8" t="str">
        <f>"Ord-11-23-"&amp;TEXT(ROW(C118),"000")</f>
        <v>Ord-11-23-118</v>
      </c>
      <c r="D1800" s="6" t="s">
        <v>23</v>
      </c>
      <c r="E1800" s="10" t="s">
        <v>33</v>
      </c>
      <c r="F1800" s="10" t="s">
        <v>46</v>
      </c>
      <c r="G1800" s="10" t="s">
        <v>65</v>
      </c>
      <c r="H1800" s="10">
        <v>15</v>
      </c>
      <c r="I1800" s="6">
        <v>600</v>
      </c>
      <c r="J1800" s="6">
        <f>H1800*I1800</f>
        <v>9000</v>
      </c>
    </row>
    <row r="1801" spans="2:10" ht="20.100000000000001" customHeight="1" x14ac:dyDescent="0.25">
      <c r="B1801" s="5">
        <v>45253</v>
      </c>
      <c r="C1801" s="8" t="str">
        <f>"Ord-11-23-"&amp;TEXT(ROW(C119),"000")</f>
        <v>Ord-11-23-119</v>
      </c>
      <c r="D1801" s="6" t="s">
        <v>26</v>
      </c>
      <c r="E1801" s="10" t="s">
        <v>29</v>
      </c>
      <c r="F1801" s="10" t="s">
        <v>40</v>
      </c>
      <c r="G1801" s="10" t="s">
        <v>84</v>
      </c>
      <c r="H1801" s="10">
        <v>7500</v>
      </c>
      <c r="I1801" s="6">
        <v>2</v>
      </c>
      <c r="J1801" s="6">
        <f>H1801*I1801</f>
        <v>15000</v>
      </c>
    </row>
    <row r="1802" spans="2:10" ht="20.100000000000001" customHeight="1" x14ac:dyDescent="0.25">
      <c r="B1802" s="5">
        <v>45253</v>
      </c>
      <c r="C1802" s="8" t="str">
        <f>"Ord-11-23-"&amp;TEXT(ROW(C120),"000")</f>
        <v>Ord-11-23-120</v>
      </c>
      <c r="D1802" s="6" t="s">
        <v>10</v>
      </c>
      <c r="E1802" s="10" t="s">
        <v>34</v>
      </c>
      <c r="F1802" s="10" t="s">
        <v>49</v>
      </c>
      <c r="G1802" s="10" t="s">
        <v>68</v>
      </c>
      <c r="H1802" s="10">
        <v>4000</v>
      </c>
      <c r="I1802" s="6">
        <v>3</v>
      </c>
      <c r="J1802" s="6">
        <f>H1802*I1802</f>
        <v>12000</v>
      </c>
    </row>
    <row r="1803" spans="2:10" ht="20.100000000000001" customHeight="1" x14ac:dyDescent="0.25">
      <c r="B1803" s="5">
        <v>45254</v>
      </c>
      <c r="C1803" s="8" t="str">
        <f>"Ord-11-23-"&amp;TEXT(ROW(C121),"000")</f>
        <v>Ord-11-23-121</v>
      </c>
      <c r="D1803" s="6" t="s">
        <v>25</v>
      </c>
      <c r="E1803" s="10" t="s">
        <v>35</v>
      </c>
      <c r="F1803" s="12" t="s">
        <v>90</v>
      </c>
      <c r="G1803" s="10" t="s">
        <v>79</v>
      </c>
      <c r="H1803" s="10">
        <v>4800</v>
      </c>
      <c r="I1803" s="6">
        <v>3</v>
      </c>
      <c r="J1803" s="6">
        <f>H1803*I1803</f>
        <v>14400</v>
      </c>
    </row>
    <row r="1804" spans="2:10" ht="20.100000000000001" customHeight="1" x14ac:dyDescent="0.25">
      <c r="B1804" s="5">
        <v>45254</v>
      </c>
      <c r="C1804" s="8" t="str">
        <f>"Ord-11-23-"&amp;TEXT(ROW(C122),"000")</f>
        <v>Ord-11-23-122</v>
      </c>
      <c r="D1804" s="6" t="s">
        <v>15</v>
      </c>
      <c r="E1804" s="10" t="s">
        <v>35</v>
      </c>
      <c r="F1804" s="12" t="s">
        <v>90</v>
      </c>
      <c r="G1804" s="10" t="s">
        <v>58</v>
      </c>
      <c r="H1804" s="10">
        <v>7500</v>
      </c>
      <c r="I1804" s="6">
        <v>2</v>
      </c>
      <c r="J1804" s="6">
        <f>H1804*I1804</f>
        <v>15000</v>
      </c>
    </row>
    <row r="1805" spans="2:10" ht="20.100000000000001" customHeight="1" x14ac:dyDescent="0.25">
      <c r="B1805" s="5">
        <v>45254</v>
      </c>
      <c r="C1805" s="8" t="str">
        <f>"Ord-11-23-"&amp;TEXT(ROW(C123),"000")</f>
        <v>Ord-11-23-123</v>
      </c>
      <c r="D1805" s="6" t="s">
        <v>25</v>
      </c>
      <c r="E1805" s="10" t="s">
        <v>28</v>
      </c>
      <c r="F1805" s="10" t="s">
        <v>28</v>
      </c>
      <c r="G1805" s="10" t="s">
        <v>58</v>
      </c>
      <c r="H1805" s="10">
        <v>1000</v>
      </c>
      <c r="I1805" s="6">
        <v>5</v>
      </c>
      <c r="J1805" s="6">
        <f>H1805*I1805</f>
        <v>5000</v>
      </c>
    </row>
    <row r="1806" spans="2:10" ht="20.100000000000001" customHeight="1" x14ac:dyDescent="0.25">
      <c r="B1806" s="5">
        <v>45254</v>
      </c>
      <c r="C1806" s="8" t="str">
        <f>"Ord-11-23-"&amp;TEXT(ROW(C124),"000")</f>
        <v>Ord-11-23-124</v>
      </c>
      <c r="D1806" s="6" t="s">
        <v>25</v>
      </c>
      <c r="E1806" s="10" t="s">
        <v>31</v>
      </c>
      <c r="F1806" s="10" t="s">
        <v>52</v>
      </c>
      <c r="G1806" s="10" t="s">
        <v>66</v>
      </c>
      <c r="H1806" s="10">
        <v>3200</v>
      </c>
      <c r="I1806" s="6">
        <v>3</v>
      </c>
      <c r="J1806" s="6">
        <f>H1806*I1806</f>
        <v>9600</v>
      </c>
    </row>
    <row r="1807" spans="2:10" ht="20.100000000000001" customHeight="1" x14ac:dyDescent="0.25">
      <c r="B1807" s="5">
        <v>45254</v>
      </c>
      <c r="C1807" s="8" t="str">
        <f>"Ord-11-23-"&amp;TEXT(ROW(C125),"000")</f>
        <v>Ord-11-23-125</v>
      </c>
      <c r="D1807" s="6" t="s">
        <v>17</v>
      </c>
      <c r="E1807" s="10" t="s">
        <v>27</v>
      </c>
      <c r="F1807" s="10" t="s">
        <v>42</v>
      </c>
      <c r="G1807" s="10" t="s">
        <v>42</v>
      </c>
      <c r="H1807" s="10">
        <v>2500</v>
      </c>
      <c r="I1807" s="6">
        <v>1</v>
      </c>
      <c r="J1807" s="6">
        <f>H1807*I1807</f>
        <v>2500</v>
      </c>
    </row>
    <row r="1808" spans="2:10" ht="20.100000000000001" customHeight="1" x14ac:dyDescent="0.25">
      <c r="B1808" s="5">
        <v>45255</v>
      </c>
      <c r="C1808" s="8" t="str">
        <f>"Ord-11-23-"&amp;TEXT(ROW(C126),"000")</f>
        <v>Ord-11-23-126</v>
      </c>
      <c r="D1808" s="6" t="s">
        <v>23</v>
      </c>
      <c r="E1808" s="10" t="s">
        <v>33</v>
      </c>
      <c r="F1808" s="10" t="s">
        <v>46</v>
      </c>
      <c r="G1808" s="10" t="s">
        <v>65</v>
      </c>
      <c r="H1808" s="10">
        <v>15</v>
      </c>
      <c r="I1808" s="6">
        <v>250</v>
      </c>
      <c r="J1808" s="6">
        <f>H1808*I1808</f>
        <v>3750</v>
      </c>
    </row>
    <row r="1809" spans="2:10" ht="20.100000000000001" customHeight="1" x14ac:dyDescent="0.25">
      <c r="B1809" s="5">
        <v>45255</v>
      </c>
      <c r="C1809" s="8" t="str">
        <f>"Ord-11-23-"&amp;TEXT(ROW(C127),"000")</f>
        <v>Ord-11-23-127</v>
      </c>
      <c r="D1809" s="6" t="s">
        <v>9</v>
      </c>
      <c r="E1809" s="10" t="s">
        <v>31</v>
      </c>
      <c r="F1809" s="10" t="s">
        <v>48</v>
      </c>
      <c r="G1809" s="10" t="s">
        <v>59</v>
      </c>
      <c r="H1809" s="10">
        <v>4000</v>
      </c>
      <c r="I1809" s="6">
        <v>3</v>
      </c>
      <c r="J1809" s="6">
        <f>H1809*I1809</f>
        <v>12000</v>
      </c>
    </row>
    <row r="1810" spans="2:10" ht="20.100000000000001" customHeight="1" x14ac:dyDescent="0.25">
      <c r="B1810" s="5">
        <v>45255</v>
      </c>
      <c r="C1810" s="8" t="str">
        <f>"Ord-11-23-"&amp;TEXT(ROW(C128),"000")</f>
        <v>Ord-11-23-128</v>
      </c>
      <c r="D1810" s="6" t="s">
        <v>16</v>
      </c>
      <c r="E1810" s="10" t="s">
        <v>29</v>
      </c>
      <c r="F1810" s="10" t="s">
        <v>40</v>
      </c>
      <c r="G1810" s="10" t="s">
        <v>57</v>
      </c>
      <c r="H1810" s="10">
        <v>4000</v>
      </c>
      <c r="I1810" s="6">
        <v>3</v>
      </c>
      <c r="J1810" s="6">
        <f>H1810*I1810</f>
        <v>12000</v>
      </c>
    </row>
    <row r="1811" spans="2:10" ht="20.100000000000001" customHeight="1" x14ac:dyDescent="0.25">
      <c r="B1811" s="5">
        <v>45255</v>
      </c>
      <c r="C1811" s="8" t="str">
        <f>"Ord-11-23-"&amp;TEXT(ROW(C129),"000")</f>
        <v>Ord-11-23-129</v>
      </c>
      <c r="D1811" s="6" t="s">
        <v>16</v>
      </c>
      <c r="E1811" s="10" t="s">
        <v>29</v>
      </c>
      <c r="F1811" s="10" t="s">
        <v>40</v>
      </c>
      <c r="G1811" s="10" t="s">
        <v>57</v>
      </c>
      <c r="H1811" s="10">
        <v>4000</v>
      </c>
      <c r="I1811" s="6">
        <v>1</v>
      </c>
      <c r="J1811" s="6">
        <f>H1811*I1811</f>
        <v>4000</v>
      </c>
    </row>
    <row r="1812" spans="2:10" ht="20.100000000000001" customHeight="1" x14ac:dyDescent="0.25">
      <c r="B1812" s="5">
        <v>45255</v>
      </c>
      <c r="C1812" s="8" t="str">
        <f>"Ord-11-23-"&amp;TEXT(ROW(C130),"000")</f>
        <v>Ord-11-23-130</v>
      </c>
      <c r="D1812" s="6" t="s">
        <v>9</v>
      </c>
      <c r="E1812" s="10" t="s">
        <v>27</v>
      </c>
      <c r="F1812" s="10" t="s">
        <v>38</v>
      </c>
      <c r="G1812" s="10" t="s">
        <v>53</v>
      </c>
      <c r="H1812" s="10">
        <v>5500</v>
      </c>
      <c r="I1812" s="6">
        <v>1</v>
      </c>
      <c r="J1812" s="6">
        <f>H1812*I1812</f>
        <v>5500</v>
      </c>
    </row>
    <row r="1813" spans="2:10" ht="20.100000000000001" customHeight="1" x14ac:dyDescent="0.25">
      <c r="B1813" s="5">
        <v>45256</v>
      </c>
      <c r="C1813" s="8" t="str">
        <f>"Ord-11-23-"&amp;TEXT(ROW(C131),"000")</f>
        <v>Ord-11-23-131</v>
      </c>
      <c r="D1813" s="6" t="s">
        <v>17</v>
      </c>
      <c r="E1813" s="10" t="s">
        <v>32</v>
      </c>
      <c r="F1813" s="10" t="s">
        <v>51</v>
      </c>
      <c r="G1813" s="10" t="s">
        <v>81</v>
      </c>
      <c r="H1813" s="10">
        <v>3000</v>
      </c>
      <c r="I1813" s="6">
        <v>3</v>
      </c>
      <c r="J1813" s="6">
        <f>H1813*I1813</f>
        <v>9000</v>
      </c>
    </row>
    <row r="1814" spans="2:10" ht="20.100000000000001" customHeight="1" x14ac:dyDescent="0.25">
      <c r="B1814" s="5">
        <v>45256</v>
      </c>
      <c r="C1814" s="8" t="str">
        <f>"Ord-11-23-"&amp;TEXT(ROW(C132),"000")</f>
        <v>Ord-11-23-132</v>
      </c>
      <c r="D1814" s="6" t="s">
        <v>23</v>
      </c>
      <c r="E1814" s="10" t="s">
        <v>33</v>
      </c>
      <c r="F1814" s="10" t="s">
        <v>47</v>
      </c>
      <c r="G1814" s="10" t="s">
        <v>65</v>
      </c>
      <c r="H1814" s="10">
        <v>25</v>
      </c>
      <c r="I1814" s="7">
        <v>400</v>
      </c>
      <c r="J1814" s="6">
        <f>H1814*I1814</f>
        <v>10000</v>
      </c>
    </row>
    <row r="1815" spans="2:10" ht="20.100000000000001" customHeight="1" x14ac:dyDescent="0.25">
      <c r="B1815" s="5">
        <v>45256</v>
      </c>
      <c r="C1815" s="8" t="str">
        <f>"Ord-11-23-"&amp;TEXT(ROW(C133),"000")</f>
        <v>Ord-11-23-133</v>
      </c>
      <c r="D1815" s="6" t="s">
        <v>16</v>
      </c>
      <c r="E1815" s="10" t="s">
        <v>30</v>
      </c>
      <c r="F1815" s="10" t="s">
        <v>90</v>
      </c>
      <c r="G1815" s="10" t="s">
        <v>86</v>
      </c>
      <c r="H1815" s="10">
        <v>7500</v>
      </c>
      <c r="I1815" s="6">
        <v>3</v>
      </c>
      <c r="J1815" s="6">
        <f>H1815*I1815</f>
        <v>22500</v>
      </c>
    </row>
    <row r="1816" spans="2:10" ht="20.100000000000001" customHeight="1" x14ac:dyDescent="0.25">
      <c r="B1816" s="5">
        <v>45256</v>
      </c>
      <c r="C1816" s="8" t="str">
        <f>"Ord-11-23-"&amp;TEXT(ROW(C134),"000")</f>
        <v>Ord-11-23-134</v>
      </c>
      <c r="D1816" s="6" t="s">
        <v>8</v>
      </c>
      <c r="E1816" s="10" t="s">
        <v>27</v>
      </c>
      <c r="F1816" s="10" t="s">
        <v>50</v>
      </c>
      <c r="G1816" s="10" t="s">
        <v>64</v>
      </c>
      <c r="H1816" s="10">
        <v>3000</v>
      </c>
      <c r="I1816" s="6">
        <v>4</v>
      </c>
      <c r="J1816" s="6">
        <f>H1816*I1816</f>
        <v>12000</v>
      </c>
    </row>
    <row r="1817" spans="2:10" ht="20.100000000000001" customHeight="1" x14ac:dyDescent="0.25">
      <c r="B1817" s="5">
        <v>45256</v>
      </c>
      <c r="C1817" s="8" t="str">
        <f>"Ord-11-23-"&amp;TEXT(ROW(C135),"000")</f>
        <v>Ord-11-23-135</v>
      </c>
      <c r="D1817" s="6" t="s">
        <v>25</v>
      </c>
      <c r="E1817" s="10" t="s">
        <v>34</v>
      </c>
      <c r="F1817" s="10" t="s">
        <v>49</v>
      </c>
      <c r="G1817" s="10" t="s">
        <v>68</v>
      </c>
      <c r="H1817" s="10">
        <v>4000</v>
      </c>
      <c r="I1817" s="6">
        <v>3</v>
      </c>
      <c r="J1817" s="6">
        <f>H1817*I1817</f>
        <v>12000</v>
      </c>
    </row>
    <row r="1818" spans="2:10" ht="20.100000000000001" customHeight="1" x14ac:dyDescent="0.25">
      <c r="B1818" s="5">
        <v>45257</v>
      </c>
      <c r="C1818" s="8" t="str">
        <f>"Ord-11-23-"&amp;TEXT(ROW(C136),"000")</f>
        <v>Ord-11-23-136</v>
      </c>
      <c r="D1818" s="6" t="s">
        <v>23</v>
      </c>
      <c r="E1818" s="10" t="s">
        <v>35</v>
      </c>
      <c r="F1818" s="12" t="s">
        <v>90</v>
      </c>
      <c r="G1818" s="10" t="s">
        <v>58</v>
      </c>
      <c r="H1818" s="10">
        <v>7500</v>
      </c>
      <c r="I1818" s="6">
        <v>2</v>
      </c>
      <c r="J1818" s="6">
        <f>H1818*I1818</f>
        <v>15000</v>
      </c>
    </row>
    <row r="1819" spans="2:10" ht="20.100000000000001" customHeight="1" x14ac:dyDescent="0.25">
      <c r="B1819" s="5">
        <v>45257</v>
      </c>
      <c r="C1819" s="8" t="str">
        <f>"Ord-11-23-"&amp;TEXT(ROW(C137),"000")</f>
        <v>Ord-11-23-137</v>
      </c>
      <c r="D1819" s="6" t="s">
        <v>10</v>
      </c>
      <c r="E1819" s="10" t="s">
        <v>32</v>
      </c>
      <c r="F1819" s="10" t="s">
        <v>51</v>
      </c>
      <c r="G1819" s="10" t="s">
        <v>72</v>
      </c>
      <c r="H1819" s="10">
        <v>2200</v>
      </c>
      <c r="I1819" s="6">
        <v>1</v>
      </c>
      <c r="J1819" s="6">
        <f>H1819*I1819</f>
        <v>2200</v>
      </c>
    </row>
    <row r="1820" spans="2:10" ht="20.100000000000001" customHeight="1" x14ac:dyDescent="0.25">
      <c r="B1820" s="5">
        <v>45257</v>
      </c>
      <c r="C1820" s="8" t="str">
        <f>"Ord-11-23-"&amp;TEXT(ROW(C138),"000")</f>
        <v>Ord-11-23-138</v>
      </c>
      <c r="D1820" s="6" t="s">
        <v>17</v>
      </c>
      <c r="E1820" s="10" t="s">
        <v>31</v>
      </c>
      <c r="F1820" s="10" t="s">
        <v>52</v>
      </c>
      <c r="G1820" s="10" t="s">
        <v>73</v>
      </c>
      <c r="H1820" s="10">
        <v>2500</v>
      </c>
      <c r="I1820" s="6">
        <v>1</v>
      </c>
      <c r="J1820" s="6">
        <f>H1820*I1820</f>
        <v>2500</v>
      </c>
    </row>
    <row r="1821" spans="2:10" ht="20.100000000000001" customHeight="1" x14ac:dyDescent="0.25">
      <c r="B1821" s="5">
        <v>45257</v>
      </c>
      <c r="C1821" s="8" t="str">
        <f>"Ord-11-23-"&amp;TEXT(ROW(C139),"000")</f>
        <v>Ord-11-23-139</v>
      </c>
      <c r="D1821" s="6" t="s">
        <v>24</v>
      </c>
      <c r="E1821" s="10" t="s">
        <v>29</v>
      </c>
      <c r="F1821" s="10" t="s">
        <v>40</v>
      </c>
      <c r="G1821" s="10" t="s">
        <v>84</v>
      </c>
      <c r="H1821" s="10">
        <v>7500</v>
      </c>
      <c r="I1821" s="6">
        <v>5</v>
      </c>
      <c r="J1821" s="6">
        <f>H1821*I1821</f>
        <v>37500</v>
      </c>
    </row>
    <row r="1822" spans="2:10" ht="20.100000000000001" customHeight="1" x14ac:dyDescent="0.25">
      <c r="B1822" s="5">
        <v>45257</v>
      </c>
      <c r="C1822" s="8" t="str">
        <f>"Ord-11-23-"&amp;TEXT(ROW(C140),"000")</f>
        <v>Ord-11-23-140</v>
      </c>
      <c r="D1822" s="6" t="s">
        <v>11</v>
      </c>
      <c r="E1822" s="10" t="s">
        <v>27</v>
      </c>
      <c r="F1822" s="10" t="s">
        <v>42</v>
      </c>
      <c r="G1822" s="10" t="s">
        <v>42</v>
      </c>
      <c r="H1822" s="10">
        <v>2500</v>
      </c>
      <c r="I1822" s="6">
        <v>2</v>
      </c>
      <c r="J1822" s="6">
        <f>H1822*I1822</f>
        <v>5000</v>
      </c>
    </row>
    <row r="1823" spans="2:10" ht="20.100000000000001" customHeight="1" x14ac:dyDescent="0.25">
      <c r="B1823" s="5">
        <v>45258</v>
      </c>
      <c r="C1823" s="8" t="str">
        <f>"Ord-11-23-"&amp;TEXT(ROW(C141),"000")</f>
        <v>Ord-11-23-141</v>
      </c>
      <c r="D1823" s="6" t="s">
        <v>12</v>
      </c>
      <c r="E1823" s="10" t="s">
        <v>35</v>
      </c>
      <c r="F1823" s="12" t="s">
        <v>90</v>
      </c>
      <c r="G1823" s="10" t="s">
        <v>55</v>
      </c>
      <c r="H1823" s="10">
        <v>5000</v>
      </c>
      <c r="I1823" s="6">
        <v>4</v>
      </c>
      <c r="J1823" s="6">
        <f>H1823*I1823</f>
        <v>20000</v>
      </c>
    </row>
    <row r="1824" spans="2:10" ht="20.100000000000001" customHeight="1" x14ac:dyDescent="0.25">
      <c r="B1824" s="5">
        <v>45258</v>
      </c>
      <c r="C1824" s="8" t="str">
        <f>"Ord-11-23-"&amp;TEXT(ROW(C142),"000")</f>
        <v>Ord-11-23-142</v>
      </c>
      <c r="D1824" s="6" t="s">
        <v>19</v>
      </c>
      <c r="E1824" s="10" t="s">
        <v>32</v>
      </c>
      <c r="F1824" s="10" t="s">
        <v>44</v>
      </c>
      <c r="G1824" s="10" t="s">
        <v>87</v>
      </c>
      <c r="H1824" s="10">
        <v>1500</v>
      </c>
      <c r="I1824" s="7">
        <v>1</v>
      </c>
      <c r="J1824" s="6">
        <f>H1824*I1824</f>
        <v>1500</v>
      </c>
    </row>
    <row r="1825" spans="2:10" ht="20.100000000000001" customHeight="1" x14ac:dyDescent="0.25">
      <c r="B1825" s="5">
        <v>45258</v>
      </c>
      <c r="C1825" s="8" t="str">
        <f>"Ord-11-23-"&amp;TEXT(ROW(C143),"000")</f>
        <v>Ord-11-23-143</v>
      </c>
      <c r="D1825" s="6" t="s">
        <v>14</v>
      </c>
      <c r="E1825" s="10" t="s">
        <v>31</v>
      </c>
      <c r="F1825" s="10" t="s">
        <v>45</v>
      </c>
      <c r="G1825" s="10" t="s">
        <v>59</v>
      </c>
      <c r="H1825" s="10">
        <v>4000</v>
      </c>
      <c r="I1825" s="6">
        <v>2</v>
      </c>
      <c r="J1825" s="6">
        <f>H1825*I1825</f>
        <v>8000</v>
      </c>
    </row>
    <row r="1826" spans="2:10" ht="20.100000000000001" customHeight="1" x14ac:dyDescent="0.25">
      <c r="B1826" s="5">
        <v>45258</v>
      </c>
      <c r="C1826" s="8" t="str">
        <f>"Ord-11-23-"&amp;TEXT(ROW(C144),"000")</f>
        <v>Ord-11-23-144</v>
      </c>
      <c r="D1826" s="6" t="s">
        <v>21</v>
      </c>
      <c r="E1826" s="10" t="s">
        <v>31</v>
      </c>
      <c r="F1826" s="10" t="s">
        <v>48</v>
      </c>
      <c r="G1826" s="10" t="s">
        <v>66</v>
      </c>
      <c r="H1826" s="10">
        <v>3500</v>
      </c>
      <c r="I1826" s="6">
        <v>1</v>
      </c>
      <c r="J1826" s="6">
        <f>H1826*I1826</f>
        <v>3500</v>
      </c>
    </row>
    <row r="1827" spans="2:10" ht="20.100000000000001" customHeight="1" x14ac:dyDescent="0.25">
      <c r="B1827" s="5">
        <v>45258</v>
      </c>
      <c r="C1827" s="8" t="str">
        <f>"Ord-11-23-"&amp;TEXT(ROW(C145),"000")</f>
        <v>Ord-11-23-145</v>
      </c>
      <c r="D1827" s="6" t="s">
        <v>14</v>
      </c>
      <c r="E1827" s="10" t="s">
        <v>34</v>
      </c>
      <c r="F1827" s="10" t="s">
        <v>49</v>
      </c>
      <c r="G1827" s="10" t="s">
        <v>68</v>
      </c>
      <c r="H1827" s="10">
        <v>4000</v>
      </c>
      <c r="I1827" s="6">
        <v>5</v>
      </c>
      <c r="J1827" s="6">
        <f>H1827*I1827</f>
        <v>20000</v>
      </c>
    </row>
    <row r="1828" spans="2:10" ht="20.100000000000001" customHeight="1" x14ac:dyDescent="0.25">
      <c r="B1828" s="5">
        <v>45259</v>
      </c>
      <c r="C1828" s="8" t="str">
        <f>"Ord-11-23-"&amp;TEXT(ROW(C146),"000")</f>
        <v>Ord-11-23-146</v>
      </c>
      <c r="D1828" s="6" t="s">
        <v>9</v>
      </c>
      <c r="E1828" s="10" t="s">
        <v>33</v>
      </c>
      <c r="F1828" s="10" t="s">
        <v>47</v>
      </c>
      <c r="G1828" s="10" t="s">
        <v>65</v>
      </c>
      <c r="H1828" s="10">
        <v>25</v>
      </c>
      <c r="I1828" s="7">
        <v>300</v>
      </c>
      <c r="J1828" s="6">
        <f>H1828*I1828</f>
        <v>7500</v>
      </c>
    </row>
    <row r="1829" spans="2:10" ht="20.100000000000001" customHeight="1" x14ac:dyDescent="0.25">
      <c r="B1829" s="5">
        <v>45259</v>
      </c>
      <c r="C1829" s="8" t="str">
        <f>"Ord-11-23-"&amp;TEXT(ROW(C147),"000")</f>
        <v>Ord-11-23-147</v>
      </c>
      <c r="D1829" s="6" t="s">
        <v>13</v>
      </c>
      <c r="E1829" s="10" t="s">
        <v>31</v>
      </c>
      <c r="F1829" s="10" t="s">
        <v>43</v>
      </c>
      <c r="G1829" s="10" t="s">
        <v>66</v>
      </c>
      <c r="H1829" s="10">
        <v>4500</v>
      </c>
      <c r="I1829" s="6">
        <v>2</v>
      </c>
      <c r="J1829" s="6">
        <f>H1829*I1829</f>
        <v>9000</v>
      </c>
    </row>
    <row r="1830" spans="2:10" ht="20.100000000000001" customHeight="1" x14ac:dyDescent="0.25">
      <c r="B1830" s="5">
        <v>45259</v>
      </c>
      <c r="C1830" s="8" t="str">
        <f>"Ord-11-23-"&amp;TEXT(ROW(C148),"000")</f>
        <v>Ord-11-23-148</v>
      </c>
      <c r="D1830" s="6" t="s">
        <v>25</v>
      </c>
      <c r="E1830" s="10" t="s">
        <v>31</v>
      </c>
      <c r="F1830" s="10" t="s">
        <v>43</v>
      </c>
      <c r="G1830" s="10" t="s">
        <v>69</v>
      </c>
      <c r="H1830" s="10">
        <v>4900</v>
      </c>
      <c r="I1830" s="6">
        <v>2</v>
      </c>
      <c r="J1830" s="6">
        <f>H1830*I1830</f>
        <v>9800</v>
      </c>
    </row>
    <row r="1831" spans="2:10" ht="20.100000000000001" customHeight="1" x14ac:dyDescent="0.25">
      <c r="B1831" s="5">
        <v>45259</v>
      </c>
      <c r="C1831" s="8" t="str">
        <f>"Ord-11-23-"&amp;TEXT(ROW(C149),"000")</f>
        <v>Ord-11-23-149</v>
      </c>
      <c r="D1831" s="6" t="s">
        <v>19</v>
      </c>
      <c r="E1831" s="10" t="s">
        <v>27</v>
      </c>
      <c r="F1831" s="10" t="s">
        <v>42</v>
      </c>
      <c r="G1831" s="10" t="s">
        <v>42</v>
      </c>
      <c r="H1831" s="10">
        <v>2500</v>
      </c>
      <c r="I1831" s="6">
        <v>4</v>
      </c>
      <c r="J1831" s="6">
        <f>H1831*I1831</f>
        <v>10000</v>
      </c>
    </row>
    <row r="1832" spans="2:10" ht="20.100000000000001" customHeight="1" x14ac:dyDescent="0.25">
      <c r="B1832" s="5">
        <v>45259</v>
      </c>
      <c r="C1832" s="8" t="str">
        <f>"Ord-11-23-"&amp;TEXT(ROW(C150),"000")</f>
        <v>Ord-11-23-150</v>
      </c>
      <c r="D1832" s="6" t="s">
        <v>8</v>
      </c>
      <c r="E1832" s="10" t="s">
        <v>34</v>
      </c>
      <c r="F1832" s="10" t="s">
        <v>49</v>
      </c>
      <c r="G1832" s="10" t="s">
        <v>68</v>
      </c>
      <c r="H1832" s="10">
        <v>4000</v>
      </c>
      <c r="I1832" s="6">
        <v>3</v>
      </c>
      <c r="J1832" s="6">
        <f>H1832*I1832</f>
        <v>12000</v>
      </c>
    </row>
    <row r="1833" spans="2:10" ht="20.100000000000001" customHeight="1" x14ac:dyDescent="0.25">
      <c r="B1833" s="5">
        <v>45260</v>
      </c>
      <c r="C1833" s="8" t="str">
        <f>"Ord-11-23-"&amp;TEXT(ROW(C151),"000")</f>
        <v>Ord-11-23-151</v>
      </c>
      <c r="D1833" s="6" t="s">
        <v>16</v>
      </c>
      <c r="E1833" s="10" t="s">
        <v>35</v>
      </c>
      <c r="F1833" s="12" t="s">
        <v>90</v>
      </c>
      <c r="G1833" s="10" t="s">
        <v>71</v>
      </c>
      <c r="H1833" s="10">
        <v>5500</v>
      </c>
      <c r="I1833" s="6">
        <v>5</v>
      </c>
      <c r="J1833" s="6">
        <f>H1833*I1833</f>
        <v>27500</v>
      </c>
    </row>
    <row r="1834" spans="2:10" ht="20.100000000000001" customHeight="1" x14ac:dyDescent="0.25">
      <c r="B1834" s="5">
        <v>45260</v>
      </c>
      <c r="C1834" s="8" t="str">
        <f>"Ord-11-23-"&amp;TEXT(ROW(C152),"000")</f>
        <v>Ord-11-23-152</v>
      </c>
      <c r="D1834" s="6" t="s">
        <v>24</v>
      </c>
      <c r="E1834" s="10" t="s">
        <v>32</v>
      </c>
      <c r="F1834" s="10" t="s">
        <v>51</v>
      </c>
      <c r="G1834" s="10" t="s">
        <v>80</v>
      </c>
      <c r="H1834" s="10">
        <v>5500</v>
      </c>
      <c r="I1834" s="6">
        <v>1</v>
      </c>
      <c r="J1834" s="6">
        <f>H1834*I1834</f>
        <v>5500</v>
      </c>
    </row>
    <row r="1835" spans="2:10" ht="20.100000000000001" customHeight="1" x14ac:dyDescent="0.25">
      <c r="B1835" s="5">
        <v>45260</v>
      </c>
      <c r="C1835" s="8" t="str">
        <f>"Ord-11-23-"&amp;TEXT(ROW(C153),"000")</f>
        <v>Ord-11-23-153</v>
      </c>
      <c r="D1835" s="6" t="s">
        <v>13</v>
      </c>
      <c r="E1835" s="10" t="s">
        <v>32</v>
      </c>
      <c r="F1835" s="10" t="s">
        <v>51</v>
      </c>
      <c r="G1835" s="10" t="s">
        <v>81</v>
      </c>
      <c r="H1835" s="10">
        <v>3000</v>
      </c>
      <c r="I1835" s="6">
        <v>1</v>
      </c>
      <c r="J1835" s="6">
        <f>H1835*I1835</f>
        <v>3000</v>
      </c>
    </row>
    <row r="1836" spans="2:10" ht="20.100000000000001" customHeight="1" x14ac:dyDescent="0.25">
      <c r="B1836" s="5">
        <v>45260</v>
      </c>
      <c r="C1836" s="8" t="str">
        <f>"Ord-11-23-"&amp;TEXT(ROW(C154),"000")</f>
        <v>Ord-11-23-154</v>
      </c>
      <c r="D1836" s="6" t="s">
        <v>16</v>
      </c>
      <c r="E1836" s="10" t="s">
        <v>33</v>
      </c>
      <c r="F1836" s="10" t="s">
        <v>47</v>
      </c>
      <c r="G1836" s="10" t="s">
        <v>65</v>
      </c>
      <c r="H1836" s="10">
        <v>25</v>
      </c>
      <c r="I1836" s="7">
        <v>240</v>
      </c>
      <c r="J1836" s="6">
        <f>H1836*I1836</f>
        <v>6000</v>
      </c>
    </row>
    <row r="1837" spans="2:10" ht="20.100000000000001" customHeight="1" x14ac:dyDescent="0.25">
      <c r="B1837" s="5">
        <v>45260</v>
      </c>
      <c r="C1837" s="8" t="str">
        <f>"Ord-11-23-"&amp;TEXT(ROW(C155),"000")</f>
        <v>Ord-11-23-155</v>
      </c>
      <c r="D1837" s="6" t="s">
        <v>7</v>
      </c>
      <c r="E1837" s="10" t="s">
        <v>33</v>
      </c>
      <c r="F1837" s="10" t="s">
        <v>46</v>
      </c>
      <c r="G1837" s="10" t="s">
        <v>65</v>
      </c>
      <c r="H1837" s="10">
        <v>15</v>
      </c>
      <c r="I1837" s="6">
        <v>100</v>
      </c>
      <c r="J1837" s="6">
        <f>H1837*I1837</f>
        <v>1500</v>
      </c>
    </row>
    <row r="1838" spans="2:10" x14ac:dyDescent="0.25">
      <c r="B1838" s="3"/>
      <c r="C1838" s="11"/>
      <c r="H1838"/>
      <c r="I1838"/>
    </row>
    <row r="1839" spans="2:10" x14ac:dyDescent="0.25">
      <c r="B1839" s="3"/>
      <c r="C1839" s="11"/>
      <c r="H1839"/>
      <c r="I1839"/>
    </row>
    <row r="1840" spans="2:10" x14ac:dyDescent="0.25">
      <c r="B1840" s="3"/>
      <c r="C1840" s="11"/>
      <c r="H1840"/>
      <c r="I1840"/>
    </row>
    <row r="1841" spans="2:9" x14ac:dyDescent="0.25">
      <c r="B1841" s="3"/>
      <c r="C1841" s="11"/>
      <c r="H1841"/>
      <c r="I1841"/>
    </row>
    <row r="1842" spans="2:9" x14ac:dyDescent="0.25">
      <c r="B1842" s="3"/>
      <c r="C1842" s="11"/>
      <c r="H1842"/>
      <c r="I1842"/>
    </row>
    <row r="1843" spans="2:9" x14ac:dyDescent="0.25">
      <c r="B1843" s="3"/>
      <c r="C1843" s="11"/>
      <c r="H1843"/>
      <c r="I1843"/>
    </row>
    <row r="1844" spans="2:9" x14ac:dyDescent="0.25">
      <c r="B1844" s="3"/>
      <c r="C1844" s="11"/>
      <c r="H1844"/>
      <c r="I1844"/>
    </row>
    <row r="1845" spans="2:9" x14ac:dyDescent="0.25">
      <c r="B1845" s="3"/>
      <c r="C1845" s="11"/>
      <c r="H1845"/>
      <c r="I1845"/>
    </row>
    <row r="1846" spans="2:9" x14ac:dyDescent="0.25">
      <c r="B1846" s="3"/>
      <c r="C1846" s="11"/>
      <c r="H1846"/>
      <c r="I1846"/>
    </row>
    <row r="1847" spans="2:9" x14ac:dyDescent="0.25">
      <c r="B1847" s="3"/>
      <c r="C1847" s="11"/>
      <c r="H1847"/>
      <c r="I1847"/>
    </row>
    <row r="1848" spans="2:9" x14ac:dyDescent="0.25">
      <c r="B1848" s="3"/>
      <c r="C1848" s="11"/>
      <c r="H1848"/>
      <c r="I1848"/>
    </row>
    <row r="1849" spans="2:9" x14ac:dyDescent="0.25">
      <c r="B1849" s="3"/>
      <c r="C1849" s="11"/>
      <c r="H1849"/>
      <c r="I1849"/>
    </row>
    <row r="1850" spans="2:9" x14ac:dyDescent="0.25">
      <c r="B1850" s="3"/>
      <c r="C1850" s="11"/>
      <c r="H1850"/>
      <c r="I1850"/>
    </row>
    <row r="1851" spans="2:9" x14ac:dyDescent="0.25">
      <c r="B1851" s="3"/>
      <c r="C1851" s="11"/>
      <c r="H1851"/>
      <c r="I1851"/>
    </row>
    <row r="1852" spans="2:9" x14ac:dyDescent="0.25">
      <c r="B1852" s="3"/>
      <c r="C1852" s="11"/>
      <c r="H1852"/>
      <c r="I1852"/>
    </row>
    <row r="1853" spans="2:9" x14ac:dyDescent="0.25">
      <c r="B1853" s="3"/>
      <c r="C1853" s="11"/>
      <c r="H1853"/>
      <c r="I1853"/>
    </row>
    <row r="1854" spans="2:9" x14ac:dyDescent="0.25">
      <c r="B1854" s="3"/>
      <c r="C1854" s="11"/>
      <c r="H1854"/>
      <c r="I1854"/>
    </row>
    <row r="1855" spans="2:9" x14ac:dyDescent="0.25">
      <c r="B1855" s="3"/>
      <c r="C1855" s="11"/>
      <c r="H1855"/>
      <c r="I1855"/>
    </row>
    <row r="1856" spans="2:9" x14ac:dyDescent="0.25">
      <c r="B1856" s="3"/>
      <c r="C1856" s="11"/>
      <c r="H1856"/>
      <c r="I1856"/>
    </row>
    <row r="1857" spans="2:9" x14ac:dyDescent="0.25">
      <c r="B1857" s="3"/>
      <c r="C1857" s="11"/>
      <c r="H1857"/>
      <c r="I1857"/>
    </row>
    <row r="1858" spans="2:9" x14ac:dyDescent="0.25">
      <c r="B1858" s="3"/>
      <c r="C1858" s="11"/>
      <c r="H1858"/>
      <c r="I1858"/>
    </row>
    <row r="1859" spans="2:9" x14ac:dyDescent="0.25">
      <c r="B1859" s="3"/>
      <c r="C1859" s="11"/>
      <c r="H1859"/>
      <c r="I1859"/>
    </row>
    <row r="1860" spans="2:9" x14ac:dyDescent="0.25">
      <c r="B1860" s="3"/>
      <c r="C1860" s="11"/>
      <c r="H1860"/>
      <c r="I1860"/>
    </row>
    <row r="1861" spans="2:9" x14ac:dyDescent="0.25">
      <c r="B1861" s="3"/>
    </row>
    <row r="1862" spans="2:9" x14ac:dyDescent="0.25">
      <c r="B1862" s="3"/>
    </row>
    <row r="1863" spans="2:9" x14ac:dyDescent="0.25">
      <c r="B1863" s="3"/>
    </row>
    <row r="1864" spans="2:9" x14ac:dyDescent="0.25">
      <c r="B1864" s="3"/>
    </row>
    <row r="1865" spans="2:9" x14ac:dyDescent="0.25">
      <c r="B1865" s="3"/>
    </row>
    <row r="1866" spans="2:9" x14ac:dyDescent="0.25">
      <c r="B1866" s="3"/>
    </row>
    <row r="1867" spans="2:9" x14ac:dyDescent="0.25">
      <c r="B1867" s="3"/>
    </row>
    <row r="1868" spans="2:9" x14ac:dyDescent="0.25">
      <c r="B1868" s="3"/>
    </row>
    <row r="1869" spans="2:9" x14ac:dyDescent="0.25">
      <c r="B1869" s="3"/>
    </row>
    <row r="1870" spans="2:9" x14ac:dyDescent="0.25">
      <c r="B1870" s="3"/>
    </row>
    <row r="1871" spans="2:9" x14ac:dyDescent="0.25">
      <c r="B1871" s="3"/>
    </row>
    <row r="1872" spans="2:9" x14ac:dyDescent="0.25">
      <c r="B18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kiritharan</dc:creator>
  <cp:lastModifiedBy>K Kiritharan</cp:lastModifiedBy>
  <dcterms:created xsi:type="dcterms:W3CDTF">2025-01-08T04:00:15Z</dcterms:created>
  <dcterms:modified xsi:type="dcterms:W3CDTF">2025-11-13T08:13:58Z</dcterms:modified>
</cp:coreProperties>
</file>